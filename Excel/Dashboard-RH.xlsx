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ichau\Desktop\SpreadSheets\"/>
    </mc:Choice>
  </mc:AlternateContent>
  <xr:revisionPtr revIDLastSave="0" documentId="8_{94157FB6-09A7-4C3E-935C-89BF0242B68D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Base de Dados RH" sheetId="3" r:id="rId1"/>
    <sheet name="Tabelas_Dinamicas" sheetId="5" r:id="rId2"/>
    <sheet name="Dashboards" sheetId="4" r:id="rId3"/>
  </sheets>
  <externalReferences>
    <externalReference r:id="rId4"/>
  </externalReferences>
  <definedNames>
    <definedName name="_xlnm._FilterDatabase" localSheetId="0" hidden="1">'Base de Dados RH'!$A$1:$L$351</definedName>
    <definedName name="Lista_clientes">[1]!Clientes[NOME]</definedName>
    <definedName name="Lista_cod_rastreio">[1]!Entregas[ID (NÚMERO + DATA + CEP)]</definedName>
    <definedName name="Lista_entregadores">[1]!Entregadores[NOME]</definedName>
    <definedName name="SegmentaçãodeDados_Ano_Admissao">#N/A</definedName>
    <definedName name="SegmentaçãodeDados_Status_Inativo_Ativo">#N/A</definedName>
  </definedNames>
  <calcPr calcId="191028"/>
  <pivotCaches>
    <pivotCache cacheId="103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" i="4" l="1"/>
  <c r="L49" i="4"/>
  <c r="H49" i="4"/>
  <c r="F49" i="4"/>
  <c r="A13" i="5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2" i="3"/>
  <c r="A13" i="4"/>
  <c r="J49" i="4" s="1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</calcChain>
</file>

<file path=xl/sharedStrings.xml><?xml version="1.0" encoding="utf-8"?>
<sst xmlns="http://schemas.openxmlformats.org/spreadsheetml/2006/main" count="2394" uniqueCount="470">
  <si>
    <t>ID</t>
  </si>
  <si>
    <t>Nome_completo</t>
  </si>
  <si>
    <t>Data_Nascimento</t>
  </si>
  <si>
    <t>Nacionalidade</t>
  </si>
  <si>
    <t>Matricula</t>
  </si>
  <si>
    <t>Cargo</t>
  </si>
  <si>
    <t>Salário_Atual</t>
  </si>
  <si>
    <t>Gestor_Direto</t>
  </si>
  <si>
    <t>Data_Admissão</t>
  </si>
  <si>
    <t>Data_Desligamento</t>
  </si>
  <si>
    <t>Feedback_Primeiro_Dia</t>
  </si>
  <si>
    <t>Feedback_Desligamento</t>
  </si>
  <si>
    <t>Status_Inativo_Ativo</t>
  </si>
  <si>
    <t>Mes_Admissao</t>
  </si>
  <si>
    <t>Mes_Desligamento</t>
  </si>
  <si>
    <t>Ano_Admissao</t>
  </si>
  <si>
    <t>Ano_Desligamento</t>
  </si>
  <si>
    <t>Coluna3</t>
  </si>
  <si>
    <t>William Cardoso</t>
  </si>
  <si>
    <t>Brasil</t>
  </si>
  <si>
    <t>Assistente Logística</t>
  </si>
  <si>
    <t>Renata Costa</t>
  </si>
  <si>
    <t/>
  </si>
  <si>
    <t>Estou saindo para buscar novos desafios profissionais.</t>
  </si>
  <si>
    <t>Caio Rocha</t>
  </si>
  <si>
    <t>Técnico de Manutenção</t>
  </si>
  <si>
    <t>Bruno Almeida</t>
  </si>
  <si>
    <t>Fui muito bem recebido e já me senti parte do time.</t>
  </si>
  <si>
    <t>Agradeço a oportunidade e tudo que aprendi aqui.</t>
  </si>
  <si>
    <t>Kevin Souza</t>
  </si>
  <si>
    <t>Desenvolvedor</t>
  </si>
  <si>
    <t>Lucas Ferreira</t>
  </si>
  <si>
    <t>Jéssica Freitas</t>
  </si>
  <si>
    <t>Designer</t>
  </si>
  <si>
    <t>Camila Rocha</t>
  </si>
  <si>
    <t>Luiz Campos</t>
  </si>
  <si>
    <t>A integração foi rápida e os processos ficaram claros.</t>
  </si>
  <si>
    <t>Helena Ferreira</t>
  </si>
  <si>
    <t>Gerente de Projetos</t>
  </si>
  <si>
    <t>Juliana Pereira</t>
  </si>
  <si>
    <t>Nicole Souza</t>
  </si>
  <si>
    <t>Saio em bons termos e com gratidão pelo time.</t>
  </si>
  <si>
    <t>Vanessa Nascimento</t>
  </si>
  <si>
    <t>Maria Nascimento</t>
  </si>
  <si>
    <t>Analista RH</t>
  </si>
  <si>
    <t>Marina Souza</t>
  </si>
  <si>
    <t>Tive um onboarding bem estruturado e gostei da organização.</t>
  </si>
  <si>
    <t>Eduarda Ribeiro</t>
  </si>
  <si>
    <t>Suporte TI</t>
  </si>
  <si>
    <t>Foi um dia intenso, mas o pessoal ajudou em tudo.</t>
  </si>
  <si>
    <t>O motivo principal é uma mudança de planos pessoais.</t>
  </si>
  <si>
    <t>Gustavo Mendes</t>
  </si>
  <si>
    <t>Kevin Gomes</t>
  </si>
  <si>
    <t>Vendedor</t>
  </si>
  <si>
    <t>Carlos Santos</t>
  </si>
  <si>
    <t>A recepção foi ótima e as expectativas ficaram alinhadas.</t>
  </si>
  <si>
    <t>Pedro Dias</t>
  </si>
  <si>
    <t>Analista Marketing</t>
  </si>
  <si>
    <t>Demorei um pouco para entender as rotinas, mas foi tranquilo.</t>
  </si>
  <si>
    <t>Leandro Ribeiro</t>
  </si>
  <si>
    <t>Gostei do clima da equipe e do jeito como explicaram as tarefas.</t>
  </si>
  <si>
    <t>Rafael Almeida</t>
  </si>
  <si>
    <t>Ana Correia</t>
  </si>
  <si>
    <t>Coordenador Operações</t>
  </si>
  <si>
    <t>Luana Barbosa</t>
  </si>
  <si>
    <t>No começo fiquei nervoso, mas o time foi bem acolhedor.</t>
  </si>
  <si>
    <t>Maria Teixeira</t>
  </si>
  <si>
    <t>Clara Ribeiro</t>
  </si>
  <si>
    <t>Atendimento</t>
  </si>
  <si>
    <t>Achei a empresa bem preparada para receber novos funcionários.</t>
  </si>
  <si>
    <t>Fábio Batista</t>
  </si>
  <si>
    <t>Foi um dia produtivo, já consegui resolver algumas coisas.</t>
  </si>
  <si>
    <t>Vanessa Santos</t>
  </si>
  <si>
    <t>O treinamento inicial foi bom, mas senti falta de mais detalhes.</t>
  </si>
  <si>
    <t>Decidi aceitar uma proposta mais alinhada aos meus objetivos.</t>
  </si>
  <si>
    <t>Ana Barbosa</t>
  </si>
  <si>
    <t>Analista Financeiro</t>
  </si>
  <si>
    <t>Paula Lima</t>
  </si>
  <si>
    <t>João Lima</t>
  </si>
  <si>
    <t>Recebi muitas informações de uma vez, vou precisar revisar.</t>
  </si>
  <si>
    <t>Zoe Dias</t>
  </si>
  <si>
    <t>Estagiário</t>
  </si>
  <si>
    <t>A experiência foi positiva e levo bons aprendizados.</t>
  </si>
  <si>
    <t>André Gomes</t>
  </si>
  <si>
    <t>Gostei do ambiente, mas senti falta de um plano de carreira.</t>
  </si>
  <si>
    <t>Elaine Oliveira</t>
  </si>
  <si>
    <t>Renata Pereira</t>
  </si>
  <si>
    <t>Saio por motivos familiares e necessidade de mudança de rotina.</t>
  </si>
  <si>
    <t>Tainá Monteiro</t>
  </si>
  <si>
    <t>Assistente Administrativo</t>
  </si>
  <si>
    <t>A empresa tem bons profissionais, agradeço o apoio recebido.</t>
  </si>
  <si>
    <t>Kevin Mendes</t>
  </si>
  <si>
    <t>Meu gestor foi muito presente e me orientou bastante.</t>
  </si>
  <si>
    <t>Laura Gomes</t>
  </si>
  <si>
    <t>Leandro Nascimento</t>
  </si>
  <si>
    <t>A equipe foi receptiva e paciente com minhas dúvidas.</t>
  </si>
  <si>
    <t>Daniela Moura</t>
  </si>
  <si>
    <t>Camila Freitas</t>
  </si>
  <si>
    <t>Tive dificuldades com acesso aos sistemas no início.</t>
  </si>
  <si>
    <t>Zoe Gomes</t>
  </si>
  <si>
    <t>Faltaram alguns acessos e equipamentos, mas foi resolvido depois.</t>
  </si>
  <si>
    <t>Juliana Correia</t>
  </si>
  <si>
    <t>Felipe Dias</t>
  </si>
  <si>
    <t>A agenda do dia foi clara e consegui acompanhar bem.</t>
  </si>
  <si>
    <t>Talita Santos</t>
  </si>
  <si>
    <t>As tarefas iniciais foram simples e ajudaram a pegar o ritmo.</t>
  </si>
  <si>
    <t>Clara Moura</t>
  </si>
  <si>
    <t>Senti que houve pouca orientação, precisei me virar bastante.</t>
  </si>
  <si>
    <t>Diego Lima</t>
  </si>
  <si>
    <t>A comunicação foi boa e me passaram tudo com calma.</t>
  </si>
  <si>
    <t>Lucas Cavalcanti</t>
  </si>
  <si>
    <t>O dia a dia foi desafiador, mas contribuiu para meu crescimento.</t>
  </si>
  <si>
    <t>Davi Costa</t>
  </si>
  <si>
    <t>Foi mais burocrático do que eu esperava, mas tudo bem.</t>
  </si>
  <si>
    <t>Helena Batista</t>
  </si>
  <si>
    <t>Gostei do escritório/ambiente e das pessoas.</t>
  </si>
  <si>
    <t>Vinícius Cardoso</t>
  </si>
  <si>
    <t>Felipe Silva</t>
  </si>
  <si>
    <t>O time me apresentou a empresa e os objetivos da área.</t>
  </si>
  <si>
    <t>Rafael Batista</t>
  </si>
  <si>
    <t>Me senti um pouco perdido, mas já no fim do dia melhorou.</t>
  </si>
  <si>
    <t>Senti que a comunicação entre áreas poderia melhorar.</t>
  </si>
  <si>
    <t>Vitor Costa</t>
  </si>
  <si>
    <t>O onboarding foi ok, mas poderia ser mais prático.</t>
  </si>
  <si>
    <t>João Oliveira</t>
  </si>
  <si>
    <t>Foi um dia corrido, mas deu para entender o básico.</t>
  </si>
  <si>
    <t>Felipe Cardoso</t>
  </si>
  <si>
    <t>Aprendi bastante logo de cara, foi bem positivo.</t>
  </si>
  <si>
    <t>Jéssica Correia</t>
  </si>
  <si>
    <t>Rafael Araújo</t>
  </si>
  <si>
    <t>Senti que a cultura é colaborativa e isso me animou.</t>
  </si>
  <si>
    <t>Isabela Santos</t>
  </si>
  <si>
    <t>Gabriela Batista</t>
  </si>
  <si>
    <t>Tive poucas atividades no primeiro dia, foi mais apresentação.</t>
  </si>
  <si>
    <t>Vinícius Oliveira</t>
  </si>
  <si>
    <t>A empresa tem um ritmo acelerado, mas curti.</t>
  </si>
  <si>
    <t>Thiago Araújo</t>
  </si>
  <si>
    <t>Sofia Cavalcanti</t>
  </si>
  <si>
    <t>Analista de Dados</t>
  </si>
  <si>
    <t>Thiago Gomes</t>
  </si>
  <si>
    <t>Meu equipamento estava pronto e isso facilitou muito.</t>
  </si>
  <si>
    <t>Rodrigo Dias</t>
  </si>
  <si>
    <t>Cheguei com dúvidas e saí bem mais seguro.</t>
  </si>
  <si>
    <t>Larissa Cardoso</t>
  </si>
  <si>
    <t>Minha decisão foi por questões de saúde/qualidade de vida.</t>
  </si>
  <si>
    <t>Rodrigo Araújo</t>
  </si>
  <si>
    <t>Gostei de conhecer as pessoas, mas faltou um guia de processos.</t>
  </si>
  <si>
    <t>Talita Almeida</t>
  </si>
  <si>
    <t>O treinamento foi bem teórico, espero colocar em prática logo.</t>
  </si>
  <si>
    <t>O cargo não estava mais alinhado ao que eu buscava.</t>
  </si>
  <si>
    <t>Daniela Dias</t>
  </si>
  <si>
    <t>Os colegas foram super prestativos e isso fez diferença.</t>
  </si>
  <si>
    <t>Agradeço especialmente ao meu gestor e colegas pelo suporte.</t>
  </si>
  <si>
    <t>Aline Ribeiro</t>
  </si>
  <si>
    <t>Carla Nascimento</t>
  </si>
  <si>
    <t>A recepção foi boa, mas o dia foi confuso por falta de agenda.</t>
  </si>
  <si>
    <t>Rafael Santos</t>
  </si>
  <si>
    <t>Me explicaram os objetivos do meu cargo e o que esperam de mim.</t>
  </si>
  <si>
    <t>André Lima</t>
  </si>
  <si>
    <t>Kevin Cavalcanti</t>
  </si>
  <si>
    <t>Pedro Barbosa</t>
  </si>
  <si>
    <t>Foi um primeiro dia simples, sem grandes problemas.</t>
  </si>
  <si>
    <t>Caio Silva</t>
  </si>
  <si>
    <t>Achei o onboarding bem completo, com materiais e links úteis.</t>
  </si>
  <si>
    <t>Paula Ribeiro</t>
  </si>
  <si>
    <t>Comecei já com demandas e isso me ajudou a engatar rápido.</t>
  </si>
  <si>
    <t>Pedro Campos</t>
  </si>
  <si>
    <t>Daniela Pinto</t>
  </si>
  <si>
    <t>Emanuel Carvalho</t>
  </si>
  <si>
    <t>Camila Gomes</t>
  </si>
  <si>
    <t>Helena Correia</t>
  </si>
  <si>
    <t>Lucas Araújo</t>
  </si>
  <si>
    <t>Hugo Cavalcanti</t>
  </si>
  <si>
    <t>Houve pontos positivos, mas a carga de trabalho era alta para mim.</t>
  </si>
  <si>
    <t>Luana Oliveira</t>
  </si>
  <si>
    <t>Isabela Cavalcanti</t>
  </si>
  <si>
    <t>A empresa é bem organizada, mas alguns processos são lentos.</t>
  </si>
  <si>
    <t>Talita Ferreira</t>
  </si>
  <si>
    <t>Senti falta de mais clareza nas prioridades e metas.</t>
  </si>
  <si>
    <t>Clara Almeida</t>
  </si>
  <si>
    <t>Camila Correia</t>
  </si>
  <si>
    <t>Emanuel Teixeira</t>
  </si>
  <si>
    <t>A cultura é boa, mas não me adaptei ao ritmo da área.</t>
  </si>
  <si>
    <t>Maria Batista</t>
  </si>
  <si>
    <t>A saída é amigável e fico aberto a oportunidades no futuro.</t>
  </si>
  <si>
    <t>Paula Costa</t>
  </si>
  <si>
    <t>Vanessa Rocha</t>
  </si>
  <si>
    <t>Elaine Pereira</t>
  </si>
  <si>
    <t>A estrutura é boa, mas faltou mais treinamento contínuo.</t>
  </si>
  <si>
    <t>Vitor Ferreira</t>
  </si>
  <si>
    <t>João Silva</t>
  </si>
  <si>
    <t>Tive uma boa experiência, mas busco atuar em outra área.</t>
  </si>
  <si>
    <t>Elaine Costa</t>
  </si>
  <si>
    <t>Eduarda Monteiro</t>
  </si>
  <si>
    <t>Daniela Nascimento</t>
  </si>
  <si>
    <t>Luana Cavalcanti</t>
  </si>
  <si>
    <t>Nicole Lima</t>
  </si>
  <si>
    <t>O pacote de benefícios/salário não atendia mais minhas necessidades.</t>
  </si>
  <si>
    <t>Zoe Teixeira</t>
  </si>
  <si>
    <t>Nicole Moura</t>
  </si>
  <si>
    <t>Helena Lima</t>
  </si>
  <si>
    <t>A empresa me deu oportunidades, mas quero seguir outro caminho.</t>
  </si>
  <si>
    <t>Gustavo Batista</t>
  </si>
  <si>
    <t>Daniela Cavalcanti</t>
  </si>
  <si>
    <t>Davi Barbosa</t>
  </si>
  <si>
    <t>Felipe Araújo</t>
  </si>
  <si>
    <t>Vitor Barbosa</t>
  </si>
  <si>
    <t>Beatriz Almeida</t>
  </si>
  <si>
    <t>Kevin Araújo</t>
  </si>
  <si>
    <t>Saio com respeito pela equipe e desejo sucesso a todos.</t>
  </si>
  <si>
    <t>Clara Oliveira</t>
  </si>
  <si>
    <t>Marcos Correia</t>
  </si>
  <si>
    <t>Talita Gomes</t>
  </si>
  <si>
    <t>Vitor Batista</t>
  </si>
  <si>
    <t>Carla Almeida</t>
  </si>
  <si>
    <t>Elaine Freitas</t>
  </si>
  <si>
    <t>Hugo Cardoso</t>
  </si>
  <si>
    <t>Helena Cavalcanti</t>
  </si>
  <si>
    <t>Rafael Pinto</t>
  </si>
  <si>
    <t>Samuel Martins</t>
  </si>
  <si>
    <t>Diego Almeida</t>
  </si>
  <si>
    <t>A decisão foi tomada após reflexão e alinhamento pessoal.</t>
  </si>
  <si>
    <t>Bruno Cardoso</t>
  </si>
  <si>
    <t>Luana Nascimento</t>
  </si>
  <si>
    <t>Leandro Oliveira</t>
  </si>
  <si>
    <t>Laura Costa</t>
  </si>
  <si>
    <t>Lucas Correia</t>
  </si>
  <si>
    <t>Beatriz Souza</t>
  </si>
  <si>
    <t>Fábio Cavalcanti</t>
  </si>
  <si>
    <t>Gostei do time, porém senti falta de autonomia no dia a dia.</t>
  </si>
  <si>
    <t>Jéssica Cardoso</t>
  </si>
  <si>
    <t>Daniela Lima</t>
  </si>
  <si>
    <t>Ana Almeida</t>
  </si>
  <si>
    <t>Vitor Cardoso</t>
  </si>
  <si>
    <t>Leandro Costa</t>
  </si>
  <si>
    <t>Aline Dias</t>
  </si>
  <si>
    <t>Juliana Souza</t>
  </si>
  <si>
    <t>Gabriela Monteiro</t>
  </si>
  <si>
    <t>Rodrigo Batista</t>
  </si>
  <si>
    <t>Rafael Ferreira</t>
  </si>
  <si>
    <t>Eduarda Araújo</t>
  </si>
  <si>
    <t>Agradeço a confiança e a chance de contribuir com os projetos.</t>
  </si>
  <si>
    <t>Beatriz Teixeira</t>
  </si>
  <si>
    <t>João Freitas</t>
  </si>
  <si>
    <t>Houve desafios na gestão de demandas e prazos.</t>
  </si>
  <si>
    <t>Nicole Mendes</t>
  </si>
  <si>
    <t>Senti que poderia haver mais reconhecimento e feedbacks frequentes.</t>
  </si>
  <si>
    <t>Paula Almeida</t>
  </si>
  <si>
    <t>Zoe Barbosa</t>
  </si>
  <si>
    <t>Samuel Santos</t>
  </si>
  <si>
    <t>André Dias</t>
  </si>
  <si>
    <t>Isabela Correia</t>
  </si>
  <si>
    <t>Yasmin Rodrigues</t>
  </si>
  <si>
    <t>Yasmin Teixeira</t>
  </si>
  <si>
    <t>Mirela Moura</t>
  </si>
  <si>
    <t>Larissa Ribeiro</t>
  </si>
  <si>
    <t>Igor Cavalcanti</t>
  </si>
  <si>
    <t>Rodrigo Carvalho</t>
  </si>
  <si>
    <t>Luana Batista</t>
  </si>
  <si>
    <t>Camila Oliveira</t>
  </si>
  <si>
    <t>Estou saindo por mudança de cidade e impossibilidade de continuar.</t>
  </si>
  <si>
    <t>Fábio Nascimento</t>
  </si>
  <si>
    <t>Yasmin Dias</t>
  </si>
  <si>
    <t>Leandro Almeida</t>
  </si>
  <si>
    <t>Vitor Nascimento</t>
  </si>
  <si>
    <t>Lucas Pinto</t>
  </si>
  <si>
    <t>Laura Pereira</t>
  </si>
  <si>
    <t>William Lima</t>
  </si>
  <si>
    <t>Flávia Rocha</t>
  </si>
  <si>
    <t>A experiência foi válida, mas o ambiente não combinou comigo.</t>
  </si>
  <si>
    <t>Mirela Araújo</t>
  </si>
  <si>
    <t>Diego Pinto</t>
  </si>
  <si>
    <t>Sofia Pereira</t>
  </si>
  <si>
    <t>Aprendi muito, mas preciso de um caminho mais alinhado à minha carreira.</t>
  </si>
  <si>
    <t>Aline Rodrigues</t>
  </si>
  <si>
    <t>A empresa tem potencial, sugiro investir mais em processos e documentação.</t>
  </si>
  <si>
    <t>Daniela Freitas</t>
  </si>
  <si>
    <t>Leandro Ferreira</t>
  </si>
  <si>
    <t>Minha saída é por oportunidade de crescimento mais rápido em outra empresa.</t>
  </si>
  <si>
    <t>Diego Monteiro</t>
  </si>
  <si>
    <t>Daniela Barbosa</t>
  </si>
  <si>
    <t>Tive boa convivência, mas o modelo de trabalho não funcionou para mim.</t>
  </si>
  <si>
    <t>Luiz Mendes</t>
  </si>
  <si>
    <t>Luana Araújo</t>
  </si>
  <si>
    <t>Luiz Teixeira</t>
  </si>
  <si>
    <t>Samuel Rocha</t>
  </si>
  <si>
    <t>Carla Cavalcanti</t>
  </si>
  <si>
    <t>Yasmin Cardoso</t>
  </si>
  <si>
    <t>Ana Oliveira</t>
  </si>
  <si>
    <t>O onboarding foi bom, porém senti falta de acompanhamento ao longo do tempo.</t>
  </si>
  <si>
    <t>Samuel Dias</t>
  </si>
  <si>
    <t>Agradeço o acolhimento, saio sem pendências e com boas lembranças.</t>
  </si>
  <si>
    <t>Igor Freitas</t>
  </si>
  <si>
    <t>Kevin Teixeira</t>
  </si>
  <si>
    <t>Minha decisão foi por motivos acadêmicos/estudos e mudança de foco.</t>
  </si>
  <si>
    <t>Marcos Mendes</t>
  </si>
  <si>
    <t>Felipe Teixeira</t>
  </si>
  <si>
    <t>Felipe Souza</t>
  </si>
  <si>
    <t>Foi uma experiência desafiadora e enriquecedora, levo aprendizados.</t>
  </si>
  <si>
    <t>Rafael Ribeiro</t>
  </si>
  <si>
    <t>Fábio Pereira</t>
  </si>
  <si>
    <t>Thiago Cavalcanti</t>
  </si>
  <si>
    <t>Otávio Cavalcanti</t>
  </si>
  <si>
    <t>Fábio Martins</t>
  </si>
  <si>
    <t>Clara Cavalcanti</t>
  </si>
  <si>
    <t>Davi Carvalho</t>
  </si>
  <si>
    <t>Rafael Dias</t>
  </si>
  <si>
    <t>Gabriela Souza</t>
  </si>
  <si>
    <t>A saída foi acordada e feita de forma respeitosa entre as partes.</t>
  </si>
  <si>
    <t>Davi Dias</t>
  </si>
  <si>
    <t>Vitor Carvalho</t>
  </si>
  <si>
    <t>Isabela Monteiro</t>
  </si>
  <si>
    <t>Davi Martins</t>
  </si>
  <si>
    <t>Beatriz Correia</t>
  </si>
  <si>
    <t>Clara Rodrigues</t>
  </si>
  <si>
    <t>Mateus Oliveira</t>
  </si>
  <si>
    <t>Caio Gomes</t>
  </si>
  <si>
    <t>André Oliveira</t>
  </si>
  <si>
    <t>Camila Rodrigues</t>
  </si>
  <si>
    <t>Bruno Rodrigues</t>
  </si>
  <si>
    <t>Otávio Nascimento</t>
  </si>
  <si>
    <t>Daniela Carvalho</t>
  </si>
  <si>
    <t>Beatriz Pereira</t>
  </si>
  <si>
    <t>Rodrigo Souza</t>
  </si>
  <si>
    <t>Gustavo Almeida</t>
  </si>
  <si>
    <t>Diego Souza</t>
  </si>
  <si>
    <t>Vinícius Carvalho</t>
  </si>
  <si>
    <t>Nicole Dias</t>
  </si>
  <si>
    <t>Sofia Barbosa</t>
  </si>
  <si>
    <t>Elaine Nascimento</t>
  </si>
  <si>
    <t>Tainá Moura</t>
  </si>
  <si>
    <t>Gabriela Costa</t>
  </si>
  <si>
    <t>Vitor Campos</t>
  </si>
  <si>
    <t>Kevin Correia</t>
  </si>
  <si>
    <t>Luiz Monteiro</t>
  </si>
  <si>
    <t>Marcos Teixeira</t>
  </si>
  <si>
    <t>Bruno Batista</t>
  </si>
  <si>
    <t>Thiago Silva</t>
  </si>
  <si>
    <t>Igor Santos</t>
  </si>
  <si>
    <t>Davi Gomes</t>
  </si>
  <si>
    <t>Eduarda Martins</t>
  </si>
  <si>
    <t>Eduarda Cavalcanti</t>
  </si>
  <si>
    <t>Elaine Ribeiro</t>
  </si>
  <si>
    <t>Carla Teixeira</t>
  </si>
  <si>
    <t>Maria Lima</t>
  </si>
  <si>
    <t>Sofia Batista</t>
  </si>
  <si>
    <t>Clara Lima</t>
  </si>
  <si>
    <t>Mateus Ferreira</t>
  </si>
  <si>
    <t>Lucas Souza</t>
  </si>
  <si>
    <t>João Cavalcanti</t>
  </si>
  <si>
    <t>Nicole Silva</t>
  </si>
  <si>
    <t>Mirela Batista</t>
  </si>
  <si>
    <t>Rodrigo Pereira</t>
  </si>
  <si>
    <t>João Costa</t>
  </si>
  <si>
    <t>Yasmin Costa</t>
  </si>
  <si>
    <t>Jéssica Dias</t>
  </si>
  <si>
    <t>Gabriela Silva</t>
  </si>
  <si>
    <t>Jéssica Nascimento</t>
  </si>
  <si>
    <t>Diego Batista</t>
  </si>
  <si>
    <t>Talita Cardoso</t>
  </si>
  <si>
    <t>Ana Moura</t>
  </si>
  <si>
    <t>Thiago Ferreira</t>
  </si>
  <si>
    <t>Diego Oliveira</t>
  </si>
  <si>
    <t>Otávio Ferreira</t>
  </si>
  <si>
    <t>Renata Barbosa</t>
  </si>
  <si>
    <t>Ana Ferreira</t>
  </si>
  <si>
    <t>Samuel Ferreira</t>
  </si>
  <si>
    <t>Flávia Cardoso</t>
  </si>
  <si>
    <t>Flávia Lima</t>
  </si>
  <si>
    <t>Mirela Oliveira</t>
  </si>
  <si>
    <t>Clara Batista</t>
  </si>
  <si>
    <t>Luana Lima</t>
  </si>
  <si>
    <t>Luiz Souza</t>
  </si>
  <si>
    <t>Igor Teixeira</t>
  </si>
  <si>
    <t>Paula Freitas</t>
  </si>
  <si>
    <t>Vanessa Rodrigues</t>
  </si>
  <si>
    <t>Tainá Pereira</t>
  </si>
  <si>
    <t>Pedro Correia</t>
  </si>
  <si>
    <t>Kevin Costa</t>
  </si>
  <si>
    <t>Eduarda Mendes</t>
  </si>
  <si>
    <t>Vanessa Souza</t>
  </si>
  <si>
    <t>Caio Almeida</t>
  </si>
  <si>
    <t>Gustavo Souza</t>
  </si>
  <si>
    <t>Daniela Santos</t>
  </si>
  <si>
    <t>Caio Souza</t>
  </si>
  <si>
    <t>Sofia Souza</t>
  </si>
  <si>
    <t>Mateus Lima</t>
  </si>
  <si>
    <t>Mateus Araújo</t>
  </si>
  <si>
    <t>Talita Costa</t>
  </si>
  <si>
    <t>Samuel Ribeiro</t>
  </si>
  <si>
    <t>Daniela Costa</t>
  </si>
  <si>
    <t>Vinícius Barbosa</t>
  </si>
  <si>
    <t>Fábio Ribeiro</t>
  </si>
  <si>
    <t>Davi Moura</t>
  </si>
  <si>
    <t>Emanuel Silva</t>
  </si>
  <si>
    <t>Larissa Araújo</t>
  </si>
  <si>
    <t>Eduarda Pereira</t>
  </si>
  <si>
    <t>Talita Batista</t>
  </si>
  <si>
    <t>Pedro Ribeiro</t>
  </si>
  <si>
    <t>Samuel Freitas</t>
  </si>
  <si>
    <t>Clara Rocha</t>
  </si>
  <si>
    <t>Jéssica Rocha</t>
  </si>
  <si>
    <t>Vinícius Rocha</t>
  </si>
  <si>
    <t>Larissa Dias</t>
  </si>
  <si>
    <t>Carla Mendes</t>
  </si>
  <si>
    <t>Talita Nascimento</t>
  </si>
  <si>
    <t>Laura Martins</t>
  </si>
  <si>
    <t>Camila Souza</t>
  </si>
  <si>
    <t>Caio Moura</t>
  </si>
  <si>
    <t>Laura Cavalcanti</t>
  </si>
  <si>
    <t>Fábio Oliveira</t>
  </si>
  <si>
    <t>Caio Freitas</t>
  </si>
  <si>
    <t>Sofia Teixeira</t>
  </si>
  <si>
    <t>Vinícius Costa</t>
  </si>
  <si>
    <t>Gabriela Teixeira</t>
  </si>
  <si>
    <t>Juliana Lima</t>
  </si>
  <si>
    <t>Kevin Campos</t>
  </si>
  <si>
    <t>Kevin Barbosa</t>
  </si>
  <si>
    <t>Davi Batista</t>
  </si>
  <si>
    <t>Mateus Campos</t>
  </si>
  <si>
    <t>Larissa Santos</t>
  </si>
  <si>
    <t>Felipe Pinto</t>
  </si>
  <si>
    <t>João Rodrigues</t>
  </si>
  <si>
    <t>Jéssica Campos</t>
  </si>
  <si>
    <t>Felipe Barbosa</t>
  </si>
  <si>
    <t>Bruno Lima</t>
  </si>
  <si>
    <t>Diego Martins</t>
  </si>
  <si>
    <t>Vanessa Carvalho</t>
  </si>
  <si>
    <t>Aline Moura</t>
  </si>
  <si>
    <t>Vinícius Pinto</t>
  </si>
  <si>
    <t>Maria Martins</t>
  </si>
  <si>
    <t>Yasmin Souza</t>
  </si>
  <si>
    <t>Maria Pinto</t>
  </si>
  <si>
    <t>Samuel Almeida</t>
  </si>
  <si>
    <t>Bruno Gomes</t>
  </si>
  <si>
    <t>Camila Monteiro</t>
  </si>
  <si>
    <t>Luana Mendes</t>
  </si>
  <si>
    <t>APENAS PARA O ANO ATUAL</t>
  </si>
  <si>
    <t>COLABORADORES ATIVOS E DESLIGADOS</t>
  </si>
  <si>
    <t>TOTAL DE ADMISSÕES POR ANO</t>
  </si>
  <si>
    <t>SALARIO TOTAL POR MES ATIVO</t>
  </si>
  <si>
    <t>LISTA DE COMENTÁRIOS DE ADMISSÃO</t>
  </si>
  <si>
    <t>LISTA DE COMENTÁRIOS DE DESLIGAMENTO</t>
  </si>
  <si>
    <t>Contagem de Nome_completo</t>
  </si>
  <si>
    <t>Soma de Salário_Atual</t>
  </si>
  <si>
    <t>ATIVO</t>
  </si>
  <si>
    <t>jan</t>
  </si>
  <si>
    <t>INATIVO</t>
  </si>
  <si>
    <t>fev</t>
  </si>
  <si>
    <t>mar</t>
  </si>
  <si>
    <t>abr</t>
  </si>
  <si>
    <t>mai</t>
  </si>
  <si>
    <t>jun</t>
  </si>
  <si>
    <t>jul</t>
  </si>
  <si>
    <t>ago</t>
  </si>
  <si>
    <t>% DESLIGADOS VS ATIVOS</t>
  </si>
  <si>
    <t>set</t>
  </si>
  <si>
    <t>out</t>
  </si>
  <si>
    <t>nov</t>
  </si>
  <si>
    <t>dez</t>
  </si>
  <si>
    <t>TOTAL DE DESLIGAMENTOS POR ANO</t>
  </si>
  <si>
    <t>GESTOR VS ATIVOS QTDE</t>
  </si>
  <si>
    <t>CARGO VS ATIVOS QTDE</t>
  </si>
  <si>
    <t>Feedback de Admissão</t>
  </si>
  <si>
    <t>Feedback de Desligamento</t>
  </si>
  <si>
    <t>Coladores Ativos</t>
  </si>
  <si>
    <t>Coladores Inativos</t>
  </si>
  <si>
    <t>% Desligamentos</t>
  </si>
  <si>
    <t>Salario total Ativo</t>
  </si>
  <si>
    <t>Salario total Inativo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</si>
</sst>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0.0%"/>
  </numFmts>
  <fonts count="13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i/>
      <u/>
      <sz val="11"/>
      <color rgb="FFFF0000"/>
      <name val="Calibri"/>
      <scheme val="minor"/>
    </font>
    <font>
      <sz val="11"/>
      <color theme="0"/>
      <name val="Calibri"/>
      <family val="2"/>
      <scheme val="minor"/>
    </font>
    <font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4353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23E3E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0" fillId="0" borderId="0" xfId="0" pivotButton="1"/>
    <xf numFmtId="0" fontId="0" fillId="0" borderId="0" xfId="0" applyNumberFormat="1"/>
    <xf numFmtId="0" fontId="1" fillId="0" borderId="0" xfId="0" pivotButton="1" applyFont="1"/>
    <xf numFmtId="0" fontId="2" fillId="0" borderId="0" xfId="0" applyFont="1"/>
    <xf numFmtId="44" fontId="0" fillId="0" borderId="0" xfId="0" applyNumberFormat="1" applyAlignment="1">
      <alignment horizontal="left" vertical="center"/>
    </xf>
    <xf numFmtId="44" fontId="0" fillId="0" borderId="0" xfId="0" applyNumberFormat="1"/>
    <xf numFmtId="44" fontId="1" fillId="0" borderId="0" xfId="0" applyNumberFormat="1" applyFont="1"/>
    <xf numFmtId="10" fontId="1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NumberFormat="1" applyFont="1"/>
    <xf numFmtId="0" fontId="3" fillId="0" borderId="0" xfId="0" applyNumberFormat="1" applyFont="1" applyAlignment="1">
      <alignment horizontal="left" vertical="center"/>
    </xf>
    <xf numFmtId="0" fontId="5" fillId="0" borderId="0" xfId="0" applyFont="1"/>
    <xf numFmtId="0" fontId="0" fillId="0" borderId="0" xfId="0" applyFont="1"/>
    <xf numFmtId="0" fontId="0" fillId="2" borderId="0" xfId="0" applyFont="1" applyFill="1"/>
    <xf numFmtId="165" fontId="1" fillId="0" borderId="0" xfId="0" applyNumberFormat="1" applyFont="1"/>
    <xf numFmtId="0" fontId="7" fillId="0" borderId="0" xfId="0" applyFont="1"/>
    <xf numFmtId="0" fontId="6" fillId="3" borderId="0" xfId="0" applyFont="1" applyFill="1"/>
    <xf numFmtId="0" fontId="9" fillId="0" borderId="0" xfId="0" applyFont="1"/>
    <xf numFmtId="0" fontId="10" fillId="7" borderId="1" xfId="0" applyFont="1" applyFill="1" applyBorder="1" applyAlignment="1">
      <alignment horizontal="center"/>
    </xf>
    <xf numFmtId="44" fontId="8" fillId="0" borderId="2" xfId="0" applyNumberFormat="1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4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165" fontId="8" fillId="0" borderId="2" xfId="0" applyNumberFormat="1" applyFont="1" applyBorder="1" applyAlignment="1">
      <alignment horizontal="right"/>
    </xf>
    <xf numFmtId="0" fontId="8" fillId="3" borderId="1" xfId="0" applyFont="1" applyFill="1" applyBorder="1" applyAlignment="1">
      <alignment horizontal="center"/>
    </xf>
    <xf numFmtId="0" fontId="11" fillId="0" borderId="0" xfId="0" pivotButton="1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88">
    <dxf>
      <font>
        <color rgb="FFFF0000"/>
      </font>
      <numFmt numFmtId="0" formatCode="General"/>
      <alignment horizontal="left" vertical="center" textRotation="0" wrapText="0" indent="0" justifyLastLine="0" shrinkToFit="0" readingOrder="0"/>
    </dxf>
    <dxf>
      <font>
        <color rgb="FFFF0000"/>
      </font>
      <numFmt numFmtId="0" formatCode="General"/>
      <alignment horizontal="left" vertical="center" textRotation="0" wrapText="0" indent="0" justifyLastLine="0" shrinkToFit="0" readingOrder="0"/>
    </dxf>
    <dxf>
      <font>
        <color rgb="FFFF0000"/>
      </font>
      <numFmt numFmtId="0" formatCode="General"/>
      <alignment horizontal="left" vertical="center" textRotation="0" wrapText="0" indent="0" justifyLastLine="0" shrinkToFit="0" readingOrder="0"/>
    </dxf>
    <dxf>
      <font>
        <color rgb="FFFF0000"/>
      </font>
      <numFmt numFmtId="0" formatCode="General"/>
      <alignment horizontal="left" vertical="center" textRotation="0" wrapText="0" indent="0" justifyLastLine="0" shrinkToFit="0" readingOrder="0"/>
    </dxf>
    <dxf>
      <font>
        <color rgb="FFFF0000"/>
      </font>
      <numFmt numFmtId="0" formatCode="General"/>
      <alignment horizontal="left" vertical="center" textRotation="0" wrapText="0" indent="0" justifyLastLine="0" shrinkToFit="0" readingOrder="0"/>
    </dxf>
    <dxf>
      <font>
        <color rgb="FFFF0000"/>
      </font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u/>
      </font>
    </dxf>
    <dxf>
      <font>
        <u/>
      </font>
    </dxf>
    <dxf>
      <numFmt numFmtId="34" formatCode="_-&quot;R$&quot;\ * #,##0.00_-;\-&quot;R$&quot;\ * #,##0.00_-;_-&quot;R$&quot;\ * &quot;-&quot;??_-;_-@_-"/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u/>
      </font>
    </dxf>
    <dxf>
      <font>
        <u/>
      </font>
    </dxf>
    <dxf>
      <numFmt numFmtId="0" formatCode="General"/>
    </dxf>
    <dxf>
      <numFmt numFmtId="0" formatCode="General"/>
    </dxf>
    <dxf>
      <font>
        <u/>
      </font>
    </dxf>
    <dxf>
      <numFmt numFmtId="0" formatCode="General"/>
    </dxf>
    <dxf>
      <numFmt numFmtId="0" formatCode="General"/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sz val="14"/>
      </font>
    </dxf>
    <dxf>
      <font>
        <sz val="14"/>
      </font>
    </dxf>
    <dxf>
      <font>
        <sz val="14"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sz val="14"/>
      </font>
    </dxf>
    <dxf>
      <font>
        <sz val="14"/>
      </font>
    </dxf>
    <dxf>
      <font>
        <sz val="14"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numFmt numFmtId="0" formatCode="General"/>
    </dxf>
    <dxf>
      <numFmt numFmtId="0" formatCode="General"/>
    </dxf>
    <dxf>
      <font>
        <u/>
      </font>
    </dxf>
    <dxf>
      <numFmt numFmtId="0" formatCode="General"/>
    </dxf>
    <dxf>
      <numFmt numFmtId="0" formatCode="General"/>
    </dxf>
    <dxf>
      <font>
        <u/>
      </font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numFmt numFmtId="34" formatCode="_-&quot;R$&quot;\ * #,##0.00_-;\-&quot;R$&quot;\ * #,##0.00_-;_-&quot;R$&quot;\ * &quot;-&quot;??_-;_-@_-"/>
    </dxf>
    <dxf>
      <font>
        <u/>
      </font>
    </dxf>
    <dxf>
      <font>
        <u/>
      </font>
    </dxf>
  </dxfs>
  <tableStyles count="0" defaultTableStyle="TableStyleMedium2" defaultPivotStyle="PivotStyleLight16"/>
  <colors>
    <mruColors>
      <color rgb="FFC23E3E"/>
      <color rgb="FFD43535"/>
      <color rgb="FFFACDFF"/>
      <color rgb="FFCCCCFF"/>
      <color rgb="FFFFCCCC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[Dashboard-RH.xlsx]Dashboards!Tabela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Admissões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05496"/>
          </a:solidFill>
          <a:ln>
            <a:solidFill>
              <a:srgbClr val="222B35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05496"/>
            </a:solidFill>
            <a:ln>
              <a:solidFill>
                <a:srgbClr val="222B35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Dashboards!$D$4:$D$15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Dashboards!$E$4:$E$15</c:f>
              <c:numCache>
                <c:formatCode>General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6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5</c:v>
                </c:pt>
                <c:pt idx="9">
                  <c:v>4</c:v>
                </c:pt>
                <c:pt idx="10">
                  <c:v>2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E-47FF-88C7-D22E68871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"/>
        <c:overlap val="-27"/>
        <c:axId val="1515189255"/>
        <c:axId val="1529039879"/>
      </c:barChart>
      <c:catAx>
        <c:axId val="1515189255"/>
        <c:scaling>
          <c:orientation val="minMax"/>
        </c:scaling>
        <c:delete val="0"/>
        <c:axPos val="b"/>
        <c:numFmt formatCode="General" sourceLinked="1"/>
        <c:majorTickMark val="out"/>
        <c:minorTickMark val="in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529039879"/>
        <c:crosses val="autoZero"/>
        <c:auto val="1"/>
        <c:lblAlgn val="ctr"/>
        <c:lblOffset val="100"/>
        <c:noMultiLvlLbl val="0"/>
      </c:catAx>
      <c:valAx>
        <c:axId val="15290398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low"/>
        <c:crossAx val="1515189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[Dashboard-RH.xlsx]Dashboards!Tabela dinâmica5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Desligamentos Por Mes</a:t>
            </a:r>
          </a:p>
        </c:rich>
      </c:tx>
      <c:overlay val="0"/>
      <c:spPr>
        <a:solidFill>
          <a:srgbClr val="FFFFFF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Dashboards!$E$18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Dashboards!$D$19:$D$26</c:f>
              <c:strCache>
                <c:ptCount val="8"/>
                <c:pt idx="0">
                  <c:v>jan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jul</c:v>
                </c:pt>
                <c:pt idx="5">
                  <c:v>ago</c:v>
                </c:pt>
                <c:pt idx="6">
                  <c:v>out</c:v>
                </c:pt>
                <c:pt idx="7">
                  <c:v>dez</c:v>
                </c:pt>
              </c:strCache>
            </c:strRef>
          </c:cat>
          <c:val>
            <c:numRef>
              <c:f>Dashboards!$E$19:$E$26</c:f>
              <c:numCache>
                <c:formatCode>General</c:formatCode>
                <c:ptCount val="8"/>
                <c:pt idx="0">
                  <c:v>33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7-4589-AD82-8E7E65B5F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-27"/>
        <c:axId val="1571301383"/>
        <c:axId val="1571303943"/>
      </c:barChart>
      <c:catAx>
        <c:axId val="1571301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571303943"/>
        <c:crosses val="autoZero"/>
        <c:auto val="1"/>
        <c:lblAlgn val="ctr"/>
        <c:lblOffset val="100"/>
        <c:noMultiLvlLbl val="0"/>
      </c:catAx>
      <c:valAx>
        <c:axId val="1571303943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571301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[Dashboard-RH.xlsx]Dashboards!Tabela dinâmica6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Salário Ativo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9D9D9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9D9D9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Dashboards!$G$4:$G$15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Dashboards!$H$4:$H$15</c:f>
              <c:numCache>
                <c:formatCode>_("R$"* #,##0.00_);_("R$"* \(#,##0.00\);_("R$"* "-"??_);_(@_)</c:formatCode>
                <c:ptCount val="12"/>
                <c:pt idx="0">
                  <c:v>28922</c:v>
                </c:pt>
                <c:pt idx="1">
                  <c:v>20318</c:v>
                </c:pt>
                <c:pt idx="2">
                  <c:v>27187</c:v>
                </c:pt>
                <c:pt idx="3">
                  <c:v>6920</c:v>
                </c:pt>
                <c:pt idx="4">
                  <c:v>15389</c:v>
                </c:pt>
                <c:pt idx="5">
                  <c:v>29062</c:v>
                </c:pt>
                <c:pt idx="6">
                  <c:v>23331</c:v>
                </c:pt>
                <c:pt idx="7">
                  <c:v>6759</c:v>
                </c:pt>
                <c:pt idx="8">
                  <c:v>40165</c:v>
                </c:pt>
                <c:pt idx="9">
                  <c:v>28457</c:v>
                </c:pt>
                <c:pt idx="10">
                  <c:v>5144</c:v>
                </c:pt>
                <c:pt idx="11">
                  <c:v>26442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DC-4248-ABFE-3A6D099C2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1713429511"/>
        <c:axId val="1713608711"/>
      </c:barChart>
      <c:catAx>
        <c:axId val="1713429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00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713608711"/>
        <c:crosses val="autoZero"/>
        <c:auto val="1"/>
        <c:lblAlgn val="ctr"/>
        <c:lblOffset val="100"/>
        <c:noMultiLvlLbl val="0"/>
      </c:catAx>
      <c:valAx>
        <c:axId val="171360871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one"/>
        <c:crossAx val="1713429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[Dashboard-RH.xlsx]Dashboards!Tabela dinâmica7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Gestor VS Ativos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Dashboards!$H$18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Dashboards!$G$19:$G$26</c:f>
              <c:strCache>
                <c:ptCount val="8"/>
                <c:pt idx="0">
                  <c:v>Bruno Almeida</c:v>
                </c:pt>
                <c:pt idx="1">
                  <c:v>Camila Rocha</c:v>
                </c:pt>
                <c:pt idx="2">
                  <c:v>Carlos Santos</c:v>
                </c:pt>
                <c:pt idx="3">
                  <c:v>Juliana Pereira</c:v>
                </c:pt>
                <c:pt idx="4">
                  <c:v>Lucas Ferreira</c:v>
                </c:pt>
                <c:pt idx="5">
                  <c:v>Marina Souza</c:v>
                </c:pt>
                <c:pt idx="6">
                  <c:v>Paula Lima</c:v>
                </c:pt>
                <c:pt idx="7">
                  <c:v>Renata Costa</c:v>
                </c:pt>
              </c:strCache>
            </c:strRef>
          </c:cat>
          <c:val>
            <c:numRef>
              <c:f>Dashboards!$H$19:$H$26</c:f>
              <c:numCache>
                <c:formatCode>General</c:formatCode>
                <c:ptCount val="8"/>
                <c:pt idx="0">
                  <c:v>3</c:v>
                </c:pt>
                <c:pt idx="1">
                  <c:v>6</c:v>
                </c:pt>
                <c:pt idx="2">
                  <c:v>6</c:v>
                </c:pt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6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E3-403C-8F97-F299B8F43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1732406279"/>
        <c:axId val="1732423687"/>
      </c:barChart>
      <c:catAx>
        <c:axId val="1732406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732423687"/>
        <c:crosses val="autoZero"/>
        <c:auto val="1"/>
        <c:lblAlgn val="ctr"/>
        <c:lblOffset val="100"/>
        <c:noMultiLvlLbl val="0"/>
      </c:catAx>
      <c:valAx>
        <c:axId val="173242368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32406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[Dashboard-RH.xlsx]Dashboards!Tabela dinâmica8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Cargos VS Ativos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5717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Dashboards!$H$30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5717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Dashboards!$G$31:$G$43</c:f>
              <c:strCache>
                <c:ptCount val="13"/>
                <c:pt idx="0">
                  <c:v>Analista Financeiro</c:v>
                </c:pt>
                <c:pt idx="1">
                  <c:v>Analista Marketing</c:v>
                </c:pt>
                <c:pt idx="2">
                  <c:v>Analista RH</c:v>
                </c:pt>
                <c:pt idx="3">
                  <c:v>Assistente Administrativo</c:v>
                </c:pt>
                <c:pt idx="4">
                  <c:v>Assistente Logística</c:v>
                </c:pt>
                <c:pt idx="5">
                  <c:v>Atendimento</c:v>
                </c:pt>
                <c:pt idx="6">
                  <c:v>Coordenador Operações</c:v>
                </c:pt>
                <c:pt idx="7">
                  <c:v>Desenvolvedor</c:v>
                </c:pt>
                <c:pt idx="8">
                  <c:v>Designer</c:v>
                </c:pt>
                <c:pt idx="9">
                  <c:v>Gerente de Projetos</c:v>
                </c:pt>
                <c:pt idx="10">
                  <c:v>Suporte TI</c:v>
                </c:pt>
                <c:pt idx="11">
                  <c:v>Técnico de Manutenção</c:v>
                </c:pt>
                <c:pt idx="12">
                  <c:v>Vendedor</c:v>
                </c:pt>
              </c:strCache>
            </c:strRef>
          </c:cat>
          <c:val>
            <c:numRef>
              <c:f>Dashboards!$H$31:$H$43</c:f>
              <c:numCache>
                <c:formatCode>General</c:formatCode>
                <c:ptCount val="13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1-4833-8B4C-353FEFDBD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axId val="464688136"/>
        <c:axId val="464690184"/>
      </c:barChart>
      <c:catAx>
        <c:axId val="464688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464690184"/>
        <c:crosses val="autoZero"/>
        <c:auto val="1"/>
        <c:lblAlgn val="ctr"/>
        <c:lblOffset val="100"/>
        <c:noMultiLvlLbl val="0"/>
      </c:catAx>
      <c:valAx>
        <c:axId val="46469018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64688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45</xdr:row>
      <xdr:rowOff>95250</xdr:rowOff>
    </xdr:from>
    <xdr:to>
      <xdr:col>1</xdr:col>
      <xdr:colOff>1228725</xdr:colOff>
      <xdr:row>49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Ano_Admissao">
              <a:extLst>
                <a:ext uri="{FF2B5EF4-FFF2-40B4-BE49-F238E27FC236}">
                  <a16:creationId xmlns:a16="http://schemas.microsoft.com/office/drawing/2014/main" id="{AD70B452-6301-5F35-F5E1-56F48A5447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_Admissa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975" y="95250"/>
              <a:ext cx="3619500" cy="1133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</xdr:col>
      <xdr:colOff>1362075</xdr:colOff>
      <xdr:row>45</xdr:row>
      <xdr:rowOff>95250</xdr:rowOff>
    </xdr:from>
    <xdr:to>
      <xdr:col>3</xdr:col>
      <xdr:colOff>1009650</xdr:colOff>
      <xdr:row>49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tatus_Inativo_Ativo">
              <a:extLst>
                <a:ext uri="{FF2B5EF4-FFF2-40B4-BE49-F238E27FC236}">
                  <a16:creationId xmlns:a16="http://schemas.microsoft.com/office/drawing/2014/main" id="{2A64BA02-D0EF-1E1A-A74A-5CEE91202CF4}"/>
                </a:ext>
                <a:ext uri="{147F2762-F138-4A5C-976F-8EAC2B608ADB}">
                  <a16:predDERef xmlns:a16="http://schemas.microsoft.com/office/drawing/2014/main" pred="{AD70B452-6301-5F35-F5E1-56F48A5447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_Inativo_Ativ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3825" y="95250"/>
              <a:ext cx="2095500" cy="109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190500</xdr:colOff>
      <xdr:row>51</xdr:row>
      <xdr:rowOff>171450</xdr:rowOff>
    </xdr:from>
    <xdr:to>
      <xdr:col>3</xdr:col>
      <xdr:colOff>2390775</xdr:colOff>
      <xdr:row>66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D9E1435-F235-C8AE-08DC-A0F618D88034}"/>
            </a:ext>
            <a:ext uri="{147F2762-F138-4A5C-976F-8EAC2B608ADB}">
              <a16:predDERef xmlns:a16="http://schemas.microsoft.com/office/drawing/2014/main" pred="{2A64BA02-D0EF-1E1A-A74A-5CEE91202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190500</xdr:colOff>
      <xdr:row>51</xdr:row>
      <xdr:rowOff>142875</xdr:rowOff>
    </xdr:from>
    <xdr:to>
      <xdr:col>9</xdr:col>
      <xdr:colOff>2276475</xdr:colOff>
      <xdr:row>66</xdr:row>
      <xdr:rowOff>28575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A947428-D71E-42A5-D268-94C130B0BFA6}"/>
            </a:ext>
            <a:ext uri="{147F2762-F138-4A5C-976F-8EAC2B608ADB}">
              <a16:predDERef xmlns:a16="http://schemas.microsoft.com/office/drawing/2014/main" pred="{1D9E1435-F235-C8AE-08DC-A0F618D88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2495550</xdr:colOff>
      <xdr:row>51</xdr:row>
      <xdr:rowOff>152400</xdr:rowOff>
    </xdr:from>
    <xdr:to>
      <xdr:col>13</xdr:col>
      <xdr:colOff>2190750</xdr:colOff>
      <xdr:row>91</xdr:row>
      <xdr:rowOff>180975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DB933A5-D360-CEA2-7A8B-D1D824A82B4B}"/>
            </a:ext>
            <a:ext uri="{147F2762-F138-4A5C-976F-8EAC2B608ADB}">
              <a16:predDERef xmlns:a16="http://schemas.microsoft.com/office/drawing/2014/main" pred="{3A947428-D71E-42A5-D268-94C130B0B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1657350</xdr:colOff>
      <xdr:row>67</xdr:row>
      <xdr:rowOff>123825</xdr:rowOff>
    </xdr:from>
    <xdr:to>
      <xdr:col>9</xdr:col>
      <xdr:colOff>2228850</xdr:colOff>
      <xdr:row>88</xdr:row>
      <xdr:rowOff>171450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4FB2B26-17FD-A499-653C-CA5C15C625FC}"/>
            </a:ext>
            <a:ext uri="{147F2762-F138-4A5C-976F-8EAC2B608ADB}">
              <a16:predDERef xmlns:a16="http://schemas.microsoft.com/office/drawing/2014/main" pred="{FDB933A5-D360-CEA2-7A8B-D1D824A82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180975</xdr:colOff>
      <xdr:row>67</xdr:row>
      <xdr:rowOff>123825</xdr:rowOff>
    </xdr:from>
    <xdr:to>
      <xdr:col>3</xdr:col>
      <xdr:colOff>1333500</xdr:colOff>
      <xdr:row>88</xdr:row>
      <xdr:rowOff>180975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7F7F68A-2FEA-8C8F-7340-1210303C0453}"/>
            </a:ext>
            <a:ext uri="{147F2762-F138-4A5C-976F-8EAC2B608ADB}">
              <a16:predDERef xmlns:a16="http://schemas.microsoft.com/office/drawing/2014/main" pred="{54FB2B26-17FD-A499-653C-CA5C15C62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eu%20Drive\Planilhas%20Prontas\Planilha%20de%20controle%20de%20entregas%20e%20pedidos%201.0.xlsx" TargetMode="External"/><Relationship Id="rId1" Type="http://schemas.openxmlformats.org/officeDocument/2006/relationships/externalLinkPath" Target="file:///H:\Meu%20Drive\Planilhas%20Prontas\Planilha%20de%20controle%20de%20entregas%20e%20pedidos%20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ES"/>
      <sheetName val="ENTREGADORES"/>
      <sheetName val="ENTREGAS"/>
      <sheetName val="PESQUISA"/>
      <sheetName val="DASHBOARD"/>
      <sheetName val="@ExcelenteJoao"/>
      <sheetName val="imagens e instruções"/>
      <sheetName val="tabelas dinamicas"/>
      <sheetName val="Planilha de controle de entreg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2.506538078705" createdVersion="8" refreshedVersion="8" minRefreshableVersion="3" recordCount="350" xr:uid="{46DE88E1-BD7A-4B60-A0A3-2A0A6C2DC5DB}">
  <cacheSource type="worksheet">
    <worksheetSource name="Tabela1"/>
  </cacheSource>
  <cacheFields count="18">
    <cacheField name="ID" numFmtId="0">
      <sharedItems containsSemiMixedTypes="0" containsString="0" containsNumber="1" containsInteger="1" minValue="1" maxValue="350"/>
    </cacheField>
    <cacheField name="Nome_completo" numFmtId="0">
      <sharedItems/>
    </cacheField>
    <cacheField name="Data_Nascimento" numFmtId="14">
      <sharedItems containsSemiMixedTypes="0" containsNonDate="0" containsDate="1" containsString="0" minDate="1970-01-12T00:00:00" maxDate="2005-11-02T00:00:00"/>
    </cacheField>
    <cacheField name="Nacionalidade" numFmtId="0">
      <sharedItems/>
    </cacheField>
    <cacheField name="Matricula" numFmtId="0">
      <sharedItems containsSemiMixedTypes="0" containsString="0" containsNumber="1" containsInteger="1" minValue="1001" maxValue="1350"/>
    </cacheField>
    <cacheField name="Cargo" numFmtId="0">
      <sharedItems count="15">
        <s v="Assistente Logística"/>
        <s v="Técnico de Manutenção"/>
        <s v="Desenvolvedor"/>
        <s v="Designer"/>
        <s v="Gerente de Projetos"/>
        <s v="Analista RH"/>
        <s v="Suporte TI"/>
        <s v="Vendedor"/>
        <s v="Analista Marketing"/>
        <s v="Coordenador Operações"/>
        <s v="Atendimento"/>
        <s v="Analista Financeiro"/>
        <s v="Estagiário"/>
        <s v="Assistente Administrativo"/>
        <s v="Analista de Dados"/>
      </sharedItems>
    </cacheField>
    <cacheField name="Salário_Atual" numFmtId="44">
      <sharedItems containsSemiMixedTypes="0" containsString="0" containsNumber="1" containsInteger="1" minValue="1209" maxValue="17830"/>
    </cacheField>
    <cacheField name="Gestor_Direto" numFmtId="0">
      <sharedItems count="9">
        <s v="Renata Costa"/>
        <s v="Bruno Almeida"/>
        <s v="Lucas Ferreira"/>
        <s v="Camila Rocha"/>
        <s v="Juliana Pereira"/>
        <s v="Marina Souza"/>
        <s v="Carlos Santos"/>
        <s v="Paula Lima"/>
        <s v="Thiago Gomes"/>
      </sharedItems>
    </cacheField>
    <cacheField name="Data_Admissão" numFmtId="14">
      <sharedItems containsSemiMixedTypes="0" containsNonDate="0" containsDate="1" containsString="0" minDate="2023-01-10T00:00:00" maxDate="2026-12-31T00:00:00"/>
    </cacheField>
    <cacheField name="Data_Desligamento" numFmtId="14">
      <sharedItems containsNonDate="0" containsDate="1" containsString="0" containsBlank="1" minDate="2023-03-26T00:00:00" maxDate="2026-12-26T00:00:00"/>
    </cacheField>
    <cacheField name="Feedback_Primeiro_Dia" numFmtId="0">
      <sharedItems count="41">
        <s v=""/>
        <s v="Fui muito bem recebido e já me senti parte do time."/>
        <s v="A integração foi rápida e os processos ficaram claros."/>
        <s v="Tive um onboarding bem estruturado e gostei da organização."/>
        <s v="Foi um dia intenso, mas o pessoal ajudou em tudo."/>
        <s v="A recepção foi ótima e as expectativas ficaram alinhadas."/>
        <s v="Demorei um pouco para entender as rotinas, mas foi tranquilo."/>
        <s v="Gostei do clima da equipe e do jeito como explicaram as tarefas."/>
        <s v="No começo fiquei nervoso, mas o time foi bem acolhedor."/>
        <s v="Achei a empresa bem preparada para receber novos funcionários."/>
        <s v="Foi um dia produtivo, já consegui resolver algumas coisas."/>
        <s v="O treinamento inicial foi bom, mas senti falta de mais detalhes."/>
        <s v="Recebi muitas informações de uma vez, vou precisar revisar."/>
        <s v="Meu gestor foi muito presente e me orientou bastante."/>
        <s v="A equipe foi receptiva e paciente com minhas dúvidas."/>
        <s v="Tive dificuldades com acesso aos sistemas no início."/>
        <s v="Faltaram alguns acessos e equipamentos, mas foi resolvido depois."/>
        <s v="A agenda do dia foi clara e consegui acompanhar bem."/>
        <s v="As tarefas iniciais foram simples e ajudaram a pegar o ritmo."/>
        <s v="Senti que houve pouca orientação, precisei me virar bastante."/>
        <s v="A comunicação foi boa e me passaram tudo com calma."/>
        <s v="Foi mais burocrático do que eu esperava, mas tudo bem."/>
        <s v="Gostei do escritório/ambiente e das pessoas."/>
        <s v="O time me apresentou a empresa e os objetivos da área."/>
        <s v="Me senti um pouco perdido, mas já no fim do dia melhorou."/>
        <s v="O onboarding foi ok, mas poderia ser mais prático."/>
        <s v="Foi um dia corrido, mas deu para entender o básico."/>
        <s v="Aprendi bastante logo de cara, foi bem positivo."/>
        <s v="Senti que a cultura é colaborativa e isso me animou."/>
        <s v="Tive poucas atividades no primeiro dia, foi mais apresentação."/>
        <s v="A empresa tem um ritmo acelerado, mas curti."/>
        <s v="Meu equipamento estava pronto e isso facilitou muito."/>
        <s v="Cheguei com dúvidas e saí bem mais seguro."/>
        <s v="Gostei de conhecer as pessoas, mas faltou um guia de processos."/>
        <s v="O treinamento foi bem teórico, espero colocar em prática logo."/>
        <s v="Os colegas foram super prestativos e isso fez diferença."/>
        <s v="A recepção foi boa, mas o dia foi confuso por falta de agenda."/>
        <s v="Me explicaram os objetivos do meu cargo e o que esperam de mim."/>
        <s v="Foi um primeiro dia simples, sem grandes problemas."/>
        <s v="Achei o onboarding bem completo, com materiais e links úteis."/>
        <s v="Comecei já com demandas e isso me ajudou a engatar rápido."/>
      </sharedItems>
    </cacheField>
    <cacheField name="Feedback_Desligamento" numFmtId="0">
      <sharedItems count="41">
        <s v="Estou saindo para buscar novos desafios profissionais."/>
        <s v="Agradeço a oportunidade e tudo que aprendi aqui."/>
        <s v=""/>
        <s v="Saio em bons termos e com gratidão pelo time."/>
        <s v="O motivo principal é uma mudança de planos pessoais."/>
        <s v="Decidi aceitar uma proposta mais alinhada aos meus objetivos."/>
        <s v="A experiência foi positiva e levo bons aprendizados."/>
        <s v="Gostei do ambiente, mas senti falta de um plano de carreira."/>
        <s v="Saio por motivos familiares e necessidade de mudança de rotina."/>
        <s v="A empresa tem bons profissionais, agradeço o apoio recebido."/>
        <s v="O dia a dia foi desafiador, mas contribuiu para meu crescimento."/>
        <s v="Senti que a comunicação entre áreas poderia melhorar."/>
        <s v="Minha decisão foi por questões de saúde/qualidade de vida."/>
        <s v="O cargo não estava mais alinhado ao que eu buscava."/>
        <s v="Agradeço especialmente ao meu gestor e colegas pelo suporte."/>
        <s v="Houve pontos positivos, mas a carga de trabalho era alta para mim."/>
        <s v="A empresa é bem organizada, mas alguns processos são lentos."/>
        <s v="Senti falta de mais clareza nas prioridades e metas."/>
        <s v="A cultura é boa, mas não me adaptei ao ritmo da área."/>
        <s v="A saída é amigável e fico aberto a oportunidades no futuro."/>
        <s v="A estrutura é boa, mas faltou mais treinamento contínuo."/>
        <s v="Tive uma boa experiência, mas busco atuar em outra área."/>
        <s v="O pacote de benefícios/salário não atendia mais minhas necessidades."/>
        <s v="A empresa me deu oportunidades, mas quero seguir outro caminho."/>
        <s v="Saio com respeito pela equipe e desejo sucesso a todos."/>
        <s v="A decisão foi tomada após reflexão e alinhamento pessoal."/>
        <s v="Gostei do time, porém senti falta de autonomia no dia a dia."/>
        <s v="Agradeço a confiança e a chance de contribuir com os projetos."/>
        <s v="Houve desafios na gestão de demandas e prazos."/>
        <s v="Senti que poderia haver mais reconhecimento e feedbacks frequentes."/>
        <s v="Estou saindo por mudança de cidade e impossibilidade de continuar."/>
        <s v="A experiência foi válida, mas o ambiente não combinou comigo."/>
        <s v="Aprendi muito, mas preciso de um caminho mais alinhado à minha carreira."/>
        <s v="A empresa tem potencial, sugiro investir mais em processos e documentação."/>
        <s v="Minha saída é por oportunidade de crescimento mais rápido em outra empresa."/>
        <s v="Tive boa convivência, mas o modelo de trabalho não funcionou para mim."/>
        <s v="O onboarding foi bom, porém senti falta de acompanhamento ao longo do tempo."/>
        <s v="Agradeço o acolhimento, saio sem pendências e com boas lembranças."/>
        <s v="Minha decisão foi por motivos acadêmicos/estudos e mudança de foco."/>
        <s v="Foi uma experiência desafiadora e enriquecedora, levo aprendizados."/>
        <s v="A saída foi acordada e feita de forma respeitosa entre as partes."/>
      </sharedItems>
    </cacheField>
    <cacheField name="Status_Inativo_Ativo" numFmtId="0">
      <sharedItems count="2">
        <s v="INATIVO"/>
        <s v="ATIVO"/>
      </sharedItems>
    </cacheField>
    <cacheField name="Mes_Admissao" numFmtId="0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Mes_Desligamento" numFmtId="0">
      <sharedItems count="12">
        <s v="jul"/>
        <s v="mar"/>
        <s v="jan"/>
        <s v="ago"/>
        <s v="mai"/>
        <s v="abr"/>
        <s v="dez"/>
        <s v="out"/>
        <s v="jun"/>
        <s v="fev"/>
        <s v="nov"/>
        <s v="set"/>
      </sharedItems>
    </cacheField>
    <cacheField name="Ano_Admissao" numFmtId="0">
      <sharedItems containsSemiMixedTypes="0" containsString="0" containsNumber="1" containsInteger="1" minValue="2023" maxValue="2026" count="4">
        <n v="2023"/>
        <n v="2024"/>
        <n v="2025"/>
        <n v="2026"/>
      </sharedItems>
    </cacheField>
    <cacheField name="Ano_Desligamento" numFmtId="0">
      <sharedItems containsMixedTypes="1" containsNumber="1" containsInteger="1" minValue="2023" maxValue="2026"/>
    </cacheField>
    <cacheField name="Coluna3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3206734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n v="1"/>
    <s v="William Cardoso"/>
    <d v="1988-07-26T00:00:00"/>
    <s v="Brasil"/>
    <n v="1273"/>
    <x v="0"/>
    <n v="3718"/>
    <x v="0"/>
    <d v="2023-01-10T00:00:00"/>
    <d v="2023-07-13T00:00:00"/>
    <x v="0"/>
    <x v="0"/>
    <x v="0"/>
    <x v="0"/>
    <x v="0"/>
    <x v="0"/>
    <n v="2023"/>
    <m/>
  </r>
  <r>
    <n v="2"/>
    <s v="Caio Rocha"/>
    <d v="1989-03-24T00:00:00"/>
    <s v="Brasil"/>
    <n v="1145"/>
    <x v="1"/>
    <n v="3344"/>
    <x v="1"/>
    <d v="2023-01-16T00:00:00"/>
    <d v="2023-03-26T00:00:00"/>
    <x v="1"/>
    <x v="1"/>
    <x v="0"/>
    <x v="0"/>
    <x v="1"/>
    <x v="0"/>
    <n v="2023"/>
    <m/>
  </r>
  <r>
    <n v="3"/>
    <s v="Kevin Souza"/>
    <d v="1992-03-21T00:00:00"/>
    <s v="Brasil"/>
    <n v="1035"/>
    <x v="2"/>
    <n v="10439"/>
    <x v="2"/>
    <d v="2023-01-18T00:00:00"/>
    <m/>
    <x v="0"/>
    <x v="2"/>
    <x v="1"/>
    <x v="0"/>
    <x v="2"/>
    <x v="0"/>
    <s v=""/>
    <m/>
  </r>
  <r>
    <n v="4"/>
    <s v="Jéssica Freitas"/>
    <d v="1971-02-28T00:00:00"/>
    <s v="Brasil"/>
    <n v="1238"/>
    <x v="3"/>
    <n v="5604"/>
    <x v="3"/>
    <d v="2023-01-19T00:00:00"/>
    <d v="2024-07-17T00:00:00"/>
    <x v="0"/>
    <x v="2"/>
    <x v="0"/>
    <x v="0"/>
    <x v="0"/>
    <x v="0"/>
    <n v="2024"/>
    <m/>
  </r>
  <r>
    <n v="5"/>
    <s v="Luiz Campos"/>
    <d v="1975-06-20T00:00:00"/>
    <s v="Brasil"/>
    <n v="1302"/>
    <x v="3"/>
    <n v="5817"/>
    <x v="3"/>
    <d v="2023-01-27T00:00:00"/>
    <m/>
    <x v="2"/>
    <x v="2"/>
    <x v="1"/>
    <x v="0"/>
    <x v="2"/>
    <x v="0"/>
    <s v=""/>
    <m/>
  </r>
  <r>
    <n v="6"/>
    <s v="Helena Ferreira"/>
    <d v="1970-02-10T00:00:00"/>
    <s v="Brasil"/>
    <n v="1304"/>
    <x v="4"/>
    <n v="14869"/>
    <x v="4"/>
    <d v="2023-02-03T00:00:00"/>
    <m/>
    <x v="0"/>
    <x v="2"/>
    <x v="1"/>
    <x v="1"/>
    <x v="2"/>
    <x v="0"/>
    <s v=""/>
    <m/>
  </r>
  <r>
    <n v="7"/>
    <s v="Nicole Souza"/>
    <d v="1989-10-30T00:00:00"/>
    <s v="Brasil"/>
    <n v="1081"/>
    <x v="3"/>
    <n v="5449"/>
    <x v="3"/>
    <d v="2023-02-27T00:00:00"/>
    <d v="2023-08-30T00:00:00"/>
    <x v="0"/>
    <x v="3"/>
    <x v="0"/>
    <x v="1"/>
    <x v="3"/>
    <x v="0"/>
    <n v="2023"/>
    <m/>
  </r>
  <r>
    <n v="8"/>
    <s v="Vanessa Nascimento"/>
    <d v="1972-06-16T00:00:00"/>
    <s v="Brasil"/>
    <n v="1049"/>
    <x v="3"/>
    <n v="4065"/>
    <x v="3"/>
    <d v="2023-03-04T00:00:00"/>
    <m/>
    <x v="0"/>
    <x v="2"/>
    <x v="1"/>
    <x v="2"/>
    <x v="2"/>
    <x v="0"/>
    <s v=""/>
    <m/>
  </r>
  <r>
    <n v="9"/>
    <s v="Maria Nascimento"/>
    <d v="1976-04-27T00:00:00"/>
    <s v="Brasil"/>
    <n v="1075"/>
    <x v="5"/>
    <n v="6646"/>
    <x v="5"/>
    <d v="2023-03-04T00:00:00"/>
    <m/>
    <x v="3"/>
    <x v="2"/>
    <x v="1"/>
    <x v="2"/>
    <x v="2"/>
    <x v="0"/>
    <s v=""/>
    <m/>
  </r>
  <r>
    <n v="10"/>
    <s v="Eduarda Ribeiro"/>
    <d v="1975-05-20T00:00:00"/>
    <s v="Brasil"/>
    <n v="1271"/>
    <x v="6"/>
    <n v="3519"/>
    <x v="1"/>
    <d v="2023-03-05T00:00:00"/>
    <d v="2023-05-06T00:00:00"/>
    <x v="4"/>
    <x v="4"/>
    <x v="0"/>
    <x v="2"/>
    <x v="4"/>
    <x v="0"/>
    <n v="2023"/>
    <m/>
  </r>
  <r>
    <n v="11"/>
    <s v="Gustavo Mendes"/>
    <d v="1976-10-10T00:00:00"/>
    <s v="Brasil"/>
    <n v="1257"/>
    <x v="3"/>
    <n v="5067"/>
    <x v="3"/>
    <d v="2023-03-16T00:00:00"/>
    <m/>
    <x v="0"/>
    <x v="2"/>
    <x v="1"/>
    <x v="2"/>
    <x v="2"/>
    <x v="0"/>
    <s v=""/>
    <m/>
  </r>
  <r>
    <n v="12"/>
    <s v="Kevin Gomes"/>
    <d v="1970-06-22T00:00:00"/>
    <s v="Brasil"/>
    <n v="1086"/>
    <x v="7"/>
    <n v="4291"/>
    <x v="6"/>
    <d v="2023-03-18T00:00:00"/>
    <m/>
    <x v="5"/>
    <x v="2"/>
    <x v="1"/>
    <x v="2"/>
    <x v="2"/>
    <x v="0"/>
    <s v=""/>
    <m/>
  </r>
  <r>
    <n v="13"/>
    <s v="Pedro Dias"/>
    <d v="1986-02-08T00:00:00"/>
    <s v="Brasil"/>
    <n v="1106"/>
    <x v="6"/>
    <n v="3599"/>
    <x v="1"/>
    <d v="2023-03-20T00:00:00"/>
    <m/>
    <x v="0"/>
    <x v="2"/>
    <x v="1"/>
    <x v="2"/>
    <x v="2"/>
    <x v="0"/>
    <s v=""/>
    <m/>
  </r>
  <r>
    <n v="14"/>
    <s v="Camila Rocha"/>
    <d v="1983-04-09T00:00:00"/>
    <s v="Brasil"/>
    <n v="1283"/>
    <x v="8"/>
    <n v="6920"/>
    <x v="3"/>
    <d v="2023-04-08T00:00:00"/>
    <m/>
    <x v="6"/>
    <x v="2"/>
    <x v="1"/>
    <x v="3"/>
    <x v="2"/>
    <x v="0"/>
    <s v=""/>
    <m/>
  </r>
  <r>
    <n v="15"/>
    <s v="Leandro Ribeiro"/>
    <d v="1973-03-15T00:00:00"/>
    <s v="Brasil"/>
    <n v="1224"/>
    <x v="2"/>
    <n v="9728"/>
    <x v="2"/>
    <d v="2023-05-04T00:00:00"/>
    <m/>
    <x v="7"/>
    <x v="2"/>
    <x v="1"/>
    <x v="4"/>
    <x v="2"/>
    <x v="0"/>
    <s v=""/>
    <m/>
  </r>
  <r>
    <n v="16"/>
    <s v="Rafael Almeida"/>
    <d v="1979-09-04T00:00:00"/>
    <s v="Brasil"/>
    <n v="1319"/>
    <x v="8"/>
    <n v="5661"/>
    <x v="3"/>
    <d v="2023-05-09T00:00:00"/>
    <m/>
    <x v="0"/>
    <x v="2"/>
    <x v="1"/>
    <x v="4"/>
    <x v="2"/>
    <x v="0"/>
    <s v=""/>
    <m/>
  </r>
  <r>
    <n v="17"/>
    <s v="Ana Correia"/>
    <d v="1978-12-03T00:00:00"/>
    <s v="Brasil"/>
    <n v="1256"/>
    <x v="9"/>
    <n v="10918"/>
    <x v="0"/>
    <d v="2023-06-06T00:00:00"/>
    <m/>
    <x v="0"/>
    <x v="2"/>
    <x v="1"/>
    <x v="5"/>
    <x v="2"/>
    <x v="0"/>
    <s v=""/>
    <m/>
  </r>
  <r>
    <n v="18"/>
    <s v="Luana Barbosa"/>
    <d v="1976-08-27T00:00:00"/>
    <s v="Brasil"/>
    <n v="1204"/>
    <x v="2"/>
    <n v="13984"/>
    <x v="2"/>
    <d v="2023-06-23T00:00:00"/>
    <m/>
    <x v="8"/>
    <x v="2"/>
    <x v="1"/>
    <x v="5"/>
    <x v="2"/>
    <x v="0"/>
    <s v=""/>
    <m/>
  </r>
  <r>
    <n v="19"/>
    <s v="Maria Teixeira"/>
    <d v="1973-11-13T00:00:00"/>
    <s v="Brasil"/>
    <n v="1044"/>
    <x v="7"/>
    <n v="4160"/>
    <x v="6"/>
    <d v="2023-06-23T00:00:00"/>
    <m/>
    <x v="0"/>
    <x v="2"/>
    <x v="1"/>
    <x v="5"/>
    <x v="2"/>
    <x v="0"/>
    <s v=""/>
    <m/>
  </r>
  <r>
    <n v="20"/>
    <s v="Clara Ribeiro"/>
    <d v="1992-05-25T00:00:00"/>
    <s v="Brasil"/>
    <n v="1261"/>
    <x v="10"/>
    <n v="2295"/>
    <x v="6"/>
    <d v="2023-07-08T00:00:00"/>
    <m/>
    <x v="9"/>
    <x v="2"/>
    <x v="1"/>
    <x v="6"/>
    <x v="2"/>
    <x v="0"/>
    <s v=""/>
    <m/>
  </r>
  <r>
    <n v="21"/>
    <s v="Fábio Batista"/>
    <d v="1986-03-06T00:00:00"/>
    <s v="Brasil"/>
    <n v="1105"/>
    <x v="8"/>
    <n v="5578"/>
    <x v="3"/>
    <d v="2023-07-09T00:00:00"/>
    <m/>
    <x v="10"/>
    <x v="2"/>
    <x v="1"/>
    <x v="6"/>
    <x v="2"/>
    <x v="0"/>
    <s v=""/>
    <m/>
  </r>
  <r>
    <n v="22"/>
    <s v="Vanessa Santos"/>
    <d v="1973-08-23T00:00:00"/>
    <s v="Brasil"/>
    <n v="1268"/>
    <x v="3"/>
    <n v="5460"/>
    <x v="3"/>
    <d v="2023-07-10T00:00:00"/>
    <d v="2024-04-25T00:00:00"/>
    <x v="11"/>
    <x v="5"/>
    <x v="0"/>
    <x v="6"/>
    <x v="5"/>
    <x v="0"/>
    <n v="2024"/>
    <m/>
  </r>
  <r>
    <n v="23"/>
    <s v="Ana Barbosa"/>
    <d v="1992-12-10T00:00:00"/>
    <s v="Brasil"/>
    <n v="1306"/>
    <x v="11"/>
    <n v="5757"/>
    <x v="7"/>
    <d v="2023-07-14T00:00:00"/>
    <m/>
    <x v="0"/>
    <x v="2"/>
    <x v="1"/>
    <x v="6"/>
    <x v="2"/>
    <x v="0"/>
    <s v=""/>
    <m/>
  </r>
  <r>
    <n v="24"/>
    <s v="João Lima"/>
    <d v="1991-06-07T00:00:00"/>
    <s v="Brasil"/>
    <n v="1320"/>
    <x v="1"/>
    <n v="4241"/>
    <x v="1"/>
    <d v="2023-07-23T00:00:00"/>
    <m/>
    <x v="12"/>
    <x v="2"/>
    <x v="1"/>
    <x v="6"/>
    <x v="2"/>
    <x v="0"/>
    <s v=""/>
    <m/>
  </r>
  <r>
    <n v="25"/>
    <s v="Zoe Dias"/>
    <d v="1994-04-11T00:00:00"/>
    <s v="Brasil"/>
    <n v="1004"/>
    <x v="12"/>
    <n v="1683"/>
    <x v="5"/>
    <d v="2023-08-17T00:00:00"/>
    <d v="2024-03-07T00:00:00"/>
    <x v="0"/>
    <x v="6"/>
    <x v="0"/>
    <x v="7"/>
    <x v="1"/>
    <x v="0"/>
    <n v="2024"/>
    <m/>
  </r>
  <r>
    <n v="26"/>
    <s v="André Gomes"/>
    <d v="1988-10-12T00:00:00"/>
    <s v="Brasil"/>
    <n v="1156"/>
    <x v="1"/>
    <n v="5076"/>
    <x v="1"/>
    <d v="2023-08-20T00:00:00"/>
    <d v="2024-03-03T00:00:00"/>
    <x v="0"/>
    <x v="7"/>
    <x v="0"/>
    <x v="7"/>
    <x v="1"/>
    <x v="0"/>
    <n v="2024"/>
    <m/>
  </r>
  <r>
    <n v="27"/>
    <s v="Elaine Oliveira"/>
    <d v="1991-01-04T00:00:00"/>
    <s v="Brasil"/>
    <n v="1127"/>
    <x v="2"/>
    <n v="11511"/>
    <x v="2"/>
    <d v="2023-09-09T00:00:00"/>
    <m/>
    <x v="0"/>
    <x v="2"/>
    <x v="1"/>
    <x v="8"/>
    <x v="2"/>
    <x v="0"/>
    <s v=""/>
    <m/>
  </r>
  <r>
    <n v="28"/>
    <s v="Renata Pereira"/>
    <d v="1994-04-28T00:00:00"/>
    <s v="Brasil"/>
    <n v="1350"/>
    <x v="4"/>
    <n v="9936"/>
    <x v="4"/>
    <d v="2023-09-09T00:00:00"/>
    <d v="2024-03-07T00:00:00"/>
    <x v="0"/>
    <x v="8"/>
    <x v="0"/>
    <x v="8"/>
    <x v="1"/>
    <x v="0"/>
    <n v="2024"/>
    <m/>
  </r>
  <r>
    <n v="29"/>
    <s v="Tainá Monteiro"/>
    <d v="1992-02-06T00:00:00"/>
    <s v="Brasil"/>
    <n v="1301"/>
    <x v="13"/>
    <n v="3100"/>
    <x v="7"/>
    <d v="2023-09-14T00:00:00"/>
    <d v="2023-12-08T00:00:00"/>
    <x v="0"/>
    <x v="9"/>
    <x v="0"/>
    <x v="8"/>
    <x v="6"/>
    <x v="0"/>
    <n v="2023"/>
    <m/>
  </r>
  <r>
    <n v="30"/>
    <s v="Kevin Mendes"/>
    <d v="1982-11-17T00:00:00"/>
    <s v="Brasil"/>
    <n v="1197"/>
    <x v="10"/>
    <n v="3059"/>
    <x v="6"/>
    <d v="2023-09-21T00:00:00"/>
    <m/>
    <x v="13"/>
    <x v="2"/>
    <x v="1"/>
    <x v="8"/>
    <x v="2"/>
    <x v="0"/>
    <s v=""/>
    <m/>
  </r>
  <r>
    <n v="31"/>
    <s v="Laura Gomes"/>
    <d v="1982-07-20T00:00:00"/>
    <s v="Brasil"/>
    <n v="1150"/>
    <x v="4"/>
    <n v="12559"/>
    <x v="4"/>
    <d v="2023-09-26T00:00:00"/>
    <m/>
    <x v="0"/>
    <x v="2"/>
    <x v="1"/>
    <x v="8"/>
    <x v="2"/>
    <x v="0"/>
    <s v=""/>
    <m/>
  </r>
  <r>
    <n v="32"/>
    <s v="Leandro Nascimento"/>
    <d v="1991-05-23T00:00:00"/>
    <s v="Brasil"/>
    <n v="1166"/>
    <x v="2"/>
    <n v="8705"/>
    <x v="2"/>
    <d v="2023-10-01T00:00:00"/>
    <m/>
    <x v="14"/>
    <x v="2"/>
    <x v="1"/>
    <x v="9"/>
    <x v="2"/>
    <x v="0"/>
    <s v=""/>
    <m/>
  </r>
  <r>
    <n v="33"/>
    <s v="Daniela Moura"/>
    <d v="1982-09-28T00:00:00"/>
    <s v="Brasil"/>
    <n v="1036"/>
    <x v="7"/>
    <n v="4456"/>
    <x v="6"/>
    <d v="2023-10-09T00:00:00"/>
    <m/>
    <x v="0"/>
    <x v="2"/>
    <x v="1"/>
    <x v="9"/>
    <x v="2"/>
    <x v="0"/>
    <s v=""/>
    <m/>
  </r>
  <r>
    <n v="34"/>
    <s v="Camila Freitas"/>
    <d v="1973-04-23T00:00:00"/>
    <s v="Brasil"/>
    <n v="1178"/>
    <x v="9"/>
    <n v="10186"/>
    <x v="0"/>
    <d v="2023-10-23T00:00:00"/>
    <m/>
    <x v="15"/>
    <x v="2"/>
    <x v="1"/>
    <x v="9"/>
    <x v="2"/>
    <x v="0"/>
    <s v=""/>
    <m/>
  </r>
  <r>
    <n v="35"/>
    <s v="Zoe Gomes"/>
    <d v="1980-09-13T00:00:00"/>
    <s v="Brasil"/>
    <n v="1074"/>
    <x v="6"/>
    <n v="5110"/>
    <x v="1"/>
    <d v="2023-10-31T00:00:00"/>
    <m/>
    <x v="16"/>
    <x v="2"/>
    <x v="1"/>
    <x v="9"/>
    <x v="2"/>
    <x v="0"/>
    <s v=""/>
    <m/>
  </r>
  <r>
    <n v="36"/>
    <s v="Juliana Correia"/>
    <d v="1981-11-28T00:00:00"/>
    <s v="Brasil"/>
    <n v="1169"/>
    <x v="13"/>
    <n v="2889"/>
    <x v="7"/>
    <d v="2023-11-10T00:00:00"/>
    <m/>
    <x v="0"/>
    <x v="2"/>
    <x v="1"/>
    <x v="10"/>
    <x v="2"/>
    <x v="0"/>
    <s v=""/>
    <m/>
  </r>
  <r>
    <n v="37"/>
    <s v="Felipe Dias"/>
    <d v="1990-12-19T00:00:00"/>
    <s v="Brasil"/>
    <n v="1005"/>
    <x v="0"/>
    <n v="2255"/>
    <x v="0"/>
    <d v="2023-11-11T00:00:00"/>
    <m/>
    <x v="17"/>
    <x v="2"/>
    <x v="1"/>
    <x v="10"/>
    <x v="2"/>
    <x v="0"/>
    <s v=""/>
    <m/>
  </r>
  <r>
    <n v="38"/>
    <s v="Talita Santos"/>
    <d v="1974-02-03T00:00:00"/>
    <s v="Brasil"/>
    <n v="1108"/>
    <x v="13"/>
    <n v="2197"/>
    <x v="7"/>
    <d v="2023-12-01T00:00:00"/>
    <m/>
    <x v="18"/>
    <x v="2"/>
    <x v="1"/>
    <x v="11"/>
    <x v="2"/>
    <x v="0"/>
    <s v=""/>
    <m/>
  </r>
  <r>
    <n v="39"/>
    <s v="Clara Moura"/>
    <d v="1986-05-14T00:00:00"/>
    <s v="Brasil"/>
    <n v="1096"/>
    <x v="13"/>
    <n v="2669"/>
    <x v="7"/>
    <d v="2023-12-12T00:00:00"/>
    <m/>
    <x v="19"/>
    <x v="2"/>
    <x v="1"/>
    <x v="11"/>
    <x v="2"/>
    <x v="0"/>
    <s v=""/>
    <m/>
  </r>
  <r>
    <n v="40"/>
    <s v="Diego Lima"/>
    <d v="1971-02-27T00:00:00"/>
    <s v="Brasil"/>
    <n v="1062"/>
    <x v="5"/>
    <n v="5449"/>
    <x v="5"/>
    <d v="2023-12-15T00:00:00"/>
    <m/>
    <x v="20"/>
    <x v="2"/>
    <x v="1"/>
    <x v="11"/>
    <x v="2"/>
    <x v="0"/>
    <s v=""/>
    <m/>
  </r>
  <r>
    <n v="41"/>
    <s v="Lucas Cavalcanti"/>
    <d v="1977-04-16T00:00:00"/>
    <s v="Brasil"/>
    <n v="1045"/>
    <x v="12"/>
    <n v="1225"/>
    <x v="5"/>
    <d v="2023-12-21T00:00:00"/>
    <d v="2024-10-07T00:00:00"/>
    <x v="0"/>
    <x v="10"/>
    <x v="0"/>
    <x v="11"/>
    <x v="7"/>
    <x v="0"/>
    <n v="2024"/>
    <m/>
  </r>
  <r>
    <n v="42"/>
    <s v="Davi Costa"/>
    <d v="1991-02-02T00:00:00"/>
    <s v="Brasil"/>
    <n v="1248"/>
    <x v="10"/>
    <n v="2564"/>
    <x v="6"/>
    <d v="2023-12-23T00:00:00"/>
    <m/>
    <x v="21"/>
    <x v="2"/>
    <x v="1"/>
    <x v="11"/>
    <x v="2"/>
    <x v="0"/>
    <s v=""/>
    <m/>
  </r>
  <r>
    <n v="43"/>
    <s v="Helena Batista"/>
    <d v="1986-03-26T00:00:00"/>
    <s v="Brasil"/>
    <n v="1033"/>
    <x v="11"/>
    <n v="6193"/>
    <x v="7"/>
    <d v="2023-12-23T00:00:00"/>
    <m/>
    <x v="22"/>
    <x v="2"/>
    <x v="1"/>
    <x v="11"/>
    <x v="2"/>
    <x v="0"/>
    <s v=""/>
    <m/>
  </r>
  <r>
    <n v="44"/>
    <s v="Vinícius Cardoso"/>
    <d v="1989-08-19T00:00:00"/>
    <s v="Brasil"/>
    <n v="1091"/>
    <x v="11"/>
    <n v="6145"/>
    <x v="7"/>
    <d v="2023-12-24T00:00:00"/>
    <m/>
    <x v="0"/>
    <x v="2"/>
    <x v="1"/>
    <x v="11"/>
    <x v="2"/>
    <x v="0"/>
    <s v=""/>
    <m/>
  </r>
  <r>
    <n v="45"/>
    <s v="Felipe Silva"/>
    <d v="1973-09-06T00:00:00"/>
    <s v="Brasil"/>
    <n v="1219"/>
    <x v="2"/>
    <n v="7527"/>
    <x v="2"/>
    <d v="2024-01-05T00:00:00"/>
    <m/>
    <x v="23"/>
    <x v="2"/>
    <x v="1"/>
    <x v="0"/>
    <x v="2"/>
    <x v="1"/>
    <s v=""/>
    <m/>
  </r>
  <r>
    <n v="46"/>
    <s v="Rafael Batista"/>
    <d v="1971-10-16T00:00:00"/>
    <s v="Brasil"/>
    <n v="1196"/>
    <x v="3"/>
    <n v="5931"/>
    <x v="3"/>
    <d v="2024-01-10T00:00:00"/>
    <d v="2024-08-06T00:00:00"/>
    <x v="24"/>
    <x v="11"/>
    <x v="0"/>
    <x v="0"/>
    <x v="3"/>
    <x v="1"/>
    <n v="2024"/>
    <m/>
  </r>
  <r>
    <n v="47"/>
    <s v="Vitor Costa"/>
    <d v="1991-08-19T00:00:00"/>
    <s v="Brasil"/>
    <n v="1007"/>
    <x v="1"/>
    <n v="4034"/>
    <x v="1"/>
    <d v="2024-01-12T00:00:00"/>
    <m/>
    <x v="25"/>
    <x v="2"/>
    <x v="1"/>
    <x v="0"/>
    <x v="2"/>
    <x v="1"/>
    <s v=""/>
    <m/>
  </r>
  <r>
    <n v="48"/>
    <s v="João Oliveira"/>
    <d v="1983-11-09T00:00:00"/>
    <s v="Brasil"/>
    <n v="1175"/>
    <x v="3"/>
    <n v="6338"/>
    <x v="3"/>
    <d v="2024-01-16T00:00:00"/>
    <m/>
    <x v="26"/>
    <x v="2"/>
    <x v="1"/>
    <x v="0"/>
    <x v="2"/>
    <x v="1"/>
    <s v=""/>
    <m/>
  </r>
  <r>
    <n v="49"/>
    <s v="Felipe Cardoso"/>
    <d v="1970-04-11T00:00:00"/>
    <s v="Brasil"/>
    <n v="1239"/>
    <x v="1"/>
    <n v="4919"/>
    <x v="1"/>
    <d v="2024-01-26T00:00:00"/>
    <m/>
    <x v="27"/>
    <x v="2"/>
    <x v="1"/>
    <x v="0"/>
    <x v="2"/>
    <x v="1"/>
    <s v=""/>
    <m/>
  </r>
  <r>
    <n v="50"/>
    <s v="Jéssica Correia"/>
    <d v="1997-05-10T00:00:00"/>
    <s v="Brasil"/>
    <n v="1037"/>
    <x v="9"/>
    <n v="8817"/>
    <x v="0"/>
    <d v="2024-02-18T00:00:00"/>
    <m/>
    <x v="0"/>
    <x v="2"/>
    <x v="1"/>
    <x v="1"/>
    <x v="2"/>
    <x v="1"/>
    <s v=""/>
    <m/>
  </r>
  <r>
    <n v="51"/>
    <s v="Rafael Araújo"/>
    <d v="1974-04-12T00:00:00"/>
    <s v="Brasil"/>
    <n v="1094"/>
    <x v="2"/>
    <n v="10301"/>
    <x v="2"/>
    <d v="2024-02-22T00:00:00"/>
    <m/>
    <x v="28"/>
    <x v="2"/>
    <x v="1"/>
    <x v="1"/>
    <x v="2"/>
    <x v="1"/>
    <s v=""/>
    <m/>
  </r>
  <r>
    <n v="52"/>
    <s v="Isabela Santos"/>
    <d v="1971-04-07T00:00:00"/>
    <s v="Brasil"/>
    <n v="1292"/>
    <x v="12"/>
    <n v="1931"/>
    <x v="5"/>
    <d v="2024-02-23T00:00:00"/>
    <m/>
    <x v="0"/>
    <x v="2"/>
    <x v="1"/>
    <x v="1"/>
    <x v="2"/>
    <x v="1"/>
    <s v=""/>
    <m/>
  </r>
  <r>
    <n v="53"/>
    <s v="Gabriela Batista"/>
    <d v="1975-09-05T00:00:00"/>
    <s v="Brasil"/>
    <n v="1161"/>
    <x v="5"/>
    <n v="5893"/>
    <x v="5"/>
    <d v="2024-02-26T00:00:00"/>
    <m/>
    <x v="29"/>
    <x v="2"/>
    <x v="1"/>
    <x v="1"/>
    <x v="2"/>
    <x v="1"/>
    <s v=""/>
    <m/>
  </r>
  <r>
    <n v="54"/>
    <s v="Vinícius Oliveira"/>
    <d v="1995-06-12T00:00:00"/>
    <s v="Brasil"/>
    <n v="1002"/>
    <x v="0"/>
    <n v="3590"/>
    <x v="0"/>
    <d v="2024-03-04T00:00:00"/>
    <m/>
    <x v="30"/>
    <x v="2"/>
    <x v="1"/>
    <x v="2"/>
    <x v="2"/>
    <x v="1"/>
    <s v=""/>
    <m/>
  </r>
  <r>
    <n v="55"/>
    <s v="Thiago Araújo"/>
    <d v="1994-11-16T00:00:00"/>
    <s v="Brasil"/>
    <n v="1172"/>
    <x v="4"/>
    <n v="11042"/>
    <x v="4"/>
    <d v="2024-03-06T00:00:00"/>
    <m/>
    <x v="0"/>
    <x v="2"/>
    <x v="1"/>
    <x v="2"/>
    <x v="2"/>
    <x v="1"/>
    <s v=""/>
    <m/>
  </r>
  <r>
    <n v="56"/>
    <s v="Sofia Cavalcanti"/>
    <d v="1995-11-25T00:00:00"/>
    <s v="Brasil"/>
    <n v="1016"/>
    <x v="14"/>
    <n v="8263"/>
    <x v="8"/>
    <d v="2024-03-07T00:00:00"/>
    <m/>
    <x v="31"/>
    <x v="2"/>
    <x v="1"/>
    <x v="2"/>
    <x v="2"/>
    <x v="1"/>
    <s v=""/>
    <m/>
  </r>
  <r>
    <n v="57"/>
    <s v="Rodrigo Dias"/>
    <d v="1989-07-01T00:00:00"/>
    <s v="Brasil"/>
    <n v="1313"/>
    <x v="11"/>
    <n v="8166"/>
    <x v="7"/>
    <d v="2024-03-10T00:00:00"/>
    <m/>
    <x v="32"/>
    <x v="2"/>
    <x v="1"/>
    <x v="2"/>
    <x v="2"/>
    <x v="1"/>
    <s v=""/>
    <m/>
  </r>
  <r>
    <n v="58"/>
    <s v="Larissa Cardoso"/>
    <d v="1997-09-21T00:00:00"/>
    <s v="Brasil"/>
    <n v="1327"/>
    <x v="0"/>
    <n v="2515"/>
    <x v="0"/>
    <d v="2024-03-10T00:00:00"/>
    <d v="2024-06-30T00:00:00"/>
    <x v="0"/>
    <x v="12"/>
    <x v="0"/>
    <x v="2"/>
    <x v="8"/>
    <x v="1"/>
    <n v="2024"/>
    <m/>
  </r>
  <r>
    <n v="59"/>
    <s v="Rodrigo Araújo"/>
    <d v="1987-08-17T00:00:00"/>
    <s v="Brasil"/>
    <n v="1032"/>
    <x v="13"/>
    <n v="2409"/>
    <x v="7"/>
    <d v="2024-03-10T00:00:00"/>
    <m/>
    <x v="33"/>
    <x v="2"/>
    <x v="1"/>
    <x v="2"/>
    <x v="2"/>
    <x v="1"/>
    <s v=""/>
    <m/>
  </r>
  <r>
    <n v="60"/>
    <s v="Talita Almeida"/>
    <d v="1981-11-12T00:00:00"/>
    <s v="Brasil"/>
    <n v="1112"/>
    <x v="14"/>
    <n v="11195"/>
    <x v="8"/>
    <d v="2024-03-16T00:00:00"/>
    <d v="2025-02-09T00:00:00"/>
    <x v="34"/>
    <x v="13"/>
    <x v="0"/>
    <x v="2"/>
    <x v="9"/>
    <x v="1"/>
    <n v="2025"/>
    <m/>
  </r>
  <r>
    <n v="61"/>
    <s v="Daniela Dias"/>
    <d v="1995-04-14T00:00:00"/>
    <s v="Brasil"/>
    <n v="1025"/>
    <x v="1"/>
    <n v="2932"/>
    <x v="1"/>
    <d v="2024-03-17T00:00:00"/>
    <d v="2024-10-02T00:00:00"/>
    <x v="35"/>
    <x v="14"/>
    <x v="0"/>
    <x v="2"/>
    <x v="7"/>
    <x v="1"/>
    <n v="2024"/>
    <m/>
  </r>
  <r>
    <n v="62"/>
    <s v="Aline Ribeiro"/>
    <d v="1989-08-10T00:00:00"/>
    <s v="Brasil"/>
    <n v="1314"/>
    <x v="1"/>
    <n v="3995"/>
    <x v="1"/>
    <d v="2024-03-17T00:00:00"/>
    <m/>
    <x v="0"/>
    <x v="2"/>
    <x v="1"/>
    <x v="2"/>
    <x v="2"/>
    <x v="1"/>
    <s v=""/>
    <m/>
  </r>
  <r>
    <n v="63"/>
    <s v="Carla Nascimento"/>
    <d v="1984-06-08T00:00:00"/>
    <s v="Brasil"/>
    <n v="1231"/>
    <x v="4"/>
    <n v="15274"/>
    <x v="4"/>
    <d v="2024-03-26T00:00:00"/>
    <m/>
    <x v="0"/>
    <x v="2"/>
    <x v="1"/>
    <x v="2"/>
    <x v="2"/>
    <x v="1"/>
    <s v=""/>
    <m/>
  </r>
  <r>
    <n v="64"/>
    <s v="Davi Costa"/>
    <d v="1987-01-03T00:00:00"/>
    <s v="Brasil"/>
    <n v="1160"/>
    <x v="14"/>
    <n v="9333"/>
    <x v="8"/>
    <d v="2024-03-29T00:00:00"/>
    <m/>
    <x v="36"/>
    <x v="2"/>
    <x v="1"/>
    <x v="2"/>
    <x v="2"/>
    <x v="1"/>
    <s v=""/>
    <m/>
  </r>
  <r>
    <n v="65"/>
    <s v="Rafael Santos"/>
    <d v="1994-02-28T00:00:00"/>
    <s v="Brasil"/>
    <n v="1285"/>
    <x v="12"/>
    <n v="1912"/>
    <x v="5"/>
    <d v="2024-03-29T00:00:00"/>
    <m/>
    <x v="37"/>
    <x v="2"/>
    <x v="1"/>
    <x v="2"/>
    <x v="2"/>
    <x v="1"/>
    <s v=""/>
    <m/>
  </r>
  <r>
    <n v="66"/>
    <s v="André Lima"/>
    <d v="1984-01-21T00:00:00"/>
    <s v="Brasil"/>
    <n v="1072"/>
    <x v="12"/>
    <n v="1340"/>
    <x v="5"/>
    <d v="2024-03-31T00:00:00"/>
    <m/>
    <x v="0"/>
    <x v="2"/>
    <x v="1"/>
    <x v="2"/>
    <x v="2"/>
    <x v="1"/>
    <s v=""/>
    <m/>
  </r>
  <r>
    <n v="67"/>
    <s v="Kevin Cavalcanti"/>
    <d v="1999-05-28T00:00:00"/>
    <s v="Brasil"/>
    <n v="1241"/>
    <x v="2"/>
    <n v="12601"/>
    <x v="2"/>
    <d v="2024-04-01T00:00:00"/>
    <m/>
    <x v="0"/>
    <x v="2"/>
    <x v="1"/>
    <x v="3"/>
    <x v="2"/>
    <x v="1"/>
    <s v=""/>
    <m/>
  </r>
  <r>
    <n v="68"/>
    <s v="Pedro Barbosa"/>
    <d v="1978-09-14T00:00:00"/>
    <s v="Brasil"/>
    <n v="1041"/>
    <x v="10"/>
    <n v="2702"/>
    <x v="6"/>
    <d v="2024-04-02T00:00:00"/>
    <m/>
    <x v="38"/>
    <x v="2"/>
    <x v="1"/>
    <x v="3"/>
    <x v="2"/>
    <x v="1"/>
    <s v=""/>
    <m/>
  </r>
  <r>
    <n v="69"/>
    <s v="Caio Silva"/>
    <d v="1973-11-20T00:00:00"/>
    <s v="Brasil"/>
    <n v="1195"/>
    <x v="12"/>
    <n v="1449"/>
    <x v="5"/>
    <d v="2024-04-03T00:00:00"/>
    <m/>
    <x v="39"/>
    <x v="2"/>
    <x v="1"/>
    <x v="3"/>
    <x v="2"/>
    <x v="1"/>
    <s v=""/>
    <m/>
  </r>
  <r>
    <n v="70"/>
    <s v="Paula Ribeiro"/>
    <d v="1982-10-26T00:00:00"/>
    <s v="Brasil"/>
    <n v="1138"/>
    <x v="7"/>
    <n v="3509"/>
    <x v="6"/>
    <d v="2024-04-05T00:00:00"/>
    <m/>
    <x v="40"/>
    <x v="2"/>
    <x v="1"/>
    <x v="3"/>
    <x v="2"/>
    <x v="1"/>
    <s v=""/>
    <m/>
  </r>
  <r>
    <n v="71"/>
    <s v="Pedro Campos"/>
    <d v="1977-07-21T00:00:00"/>
    <s v="Brasil"/>
    <n v="1013"/>
    <x v="4"/>
    <n v="13740"/>
    <x v="4"/>
    <d v="2024-04-05T00:00:00"/>
    <m/>
    <x v="0"/>
    <x v="2"/>
    <x v="1"/>
    <x v="3"/>
    <x v="2"/>
    <x v="1"/>
    <s v=""/>
    <m/>
  </r>
  <r>
    <n v="72"/>
    <s v="Daniela Pinto"/>
    <d v="1980-12-16T00:00:00"/>
    <s v="Brasil"/>
    <n v="1056"/>
    <x v="7"/>
    <n v="3994"/>
    <x v="6"/>
    <d v="2024-04-16T00:00:00"/>
    <m/>
    <x v="0"/>
    <x v="2"/>
    <x v="1"/>
    <x v="3"/>
    <x v="2"/>
    <x v="1"/>
    <s v=""/>
    <m/>
  </r>
  <r>
    <n v="73"/>
    <s v="Emanuel Carvalho"/>
    <d v="1975-04-08T00:00:00"/>
    <s v="Brasil"/>
    <n v="1151"/>
    <x v="3"/>
    <n v="6022"/>
    <x v="3"/>
    <d v="2024-04-26T00:00:00"/>
    <m/>
    <x v="0"/>
    <x v="2"/>
    <x v="1"/>
    <x v="3"/>
    <x v="2"/>
    <x v="1"/>
    <s v=""/>
    <m/>
  </r>
  <r>
    <n v="74"/>
    <s v="Camila Gomes"/>
    <d v="1993-01-10T00:00:00"/>
    <s v="Brasil"/>
    <n v="1303"/>
    <x v="1"/>
    <n v="2975"/>
    <x v="1"/>
    <d v="2024-05-01T00:00:00"/>
    <m/>
    <x v="2"/>
    <x v="2"/>
    <x v="1"/>
    <x v="4"/>
    <x v="2"/>
    <x v="1"/>
    <s v=""/>
    <m/>
  </r>
  <r>
    <n v="75"/>
    <s v="Helena Correia"/>
    <d v="1974-12-22T00:00:00"/>
    <s v="Brasil"/>
    <n v="1223"/>
    <x v="10"/>
    <n v="2796"/>
    <x v="6"/>
    <d v="2024-05-09T00:00:00"/>
    <m/>
    <x v="3"/>
    <x v="2"/>
    <x v="1"/>
    <x v="4"/>
    <x v="2"/>
    <x v="1"/>
    <s v=""/>
    <m/>
  </r>
  <r>
    <n v="76"/>
    <s v="Lucas Araújo"/>
    <d v="1996-02-28T00:00:00"/>
    <s v="Brasil"/>
    <n v="1173"/>
    <x v="3"/>
    <n v="5812"/>
    <x v="3"/>
    <d v="2024-05-15T00:00:00"/>
    <m/>
    <x v="4"/>
    <x v="2"/>
    <x v="1"/>
    <x v="4"/>
    <x v="2"/>
    <x v="1"/>
    <s v=""/>
    <m/>
  </r>
  <r>
    <n v="77"/>
    <s v="Hugo Cavalcanti"/>
    <d v="1980-06-14T00:00:00"/>
    <s v="Brasil"/>
    <n v="1030"/>
    <x v="14"/>
    <n v="14964"/>
    <x v="8"/>
    <d v="2024-05-15T00:00:00"/>
    <d v="2024-08-13T00:00:00"/>
    <x v="5"/>
    <x v="15"/>
    <x v="0"/>
    <x v="4"/>
    <x v="3"/>
    <x v="1"/>
    <n v="2024"/>
    <m/>
  </r>
  <r>
    <n v="78"/>
    <s v="Juliana Pereira"/>
    <d v="1978-03-19T00:00:00"/>
    <s v="Brasil"/>
    <n v="1009"/>
    <x v="4"/>
    <n v="17369"/>
    <x v="4"/>
    <d v="2024-05-17T00:00:00"/>
    <m/>
    <x v="6"/>
    <x v="2"/>
    <x v="1"/>
    <x v="4"/>
    <x v="2"/>
    <x v="1"/>
    <s v=""/>
    <m/>
  </r>
  <r>
    <n v="79"/>
    <s v="Luana Oliveira"/>
    <d v="1977-03-19T00:00:00"/>
    <s v="Brasil"/>
    <n v="1318"/>
    <x v="11"/>
    <n v="6561"/>
    <x v="7"/>
    <d v="2024-05-25T00:00:00"/>
    <m/>
    <x v="7"/>
    <x v="2"/>
    <x v="1"/>
    <x v="4"/>
    <x v="2"/>
    <x v="1"/>
    <s v=""/>
    <m/>
  </r>
  <r>
    <n v="80"/>
    <s v="Isabela Cavalcanti"/>
    <d v="1972-08-07T00:00:00"/>
    <s v="Brasil"/>
    <n v="1269"/>
    <x v="12"/>
    <n v="1280"/>
    <x v="5"/>
    <d v="2024-05-28T00:00:00"/>
    <d v="2024-11-21T00:00:00"/>
    <x v="8"/>
    <x v="16"/>
    <x v="0"/>
    <x v="4"/>
    <x v="10"/>
    <x v="1"/>
    <n v="2024"/>
    <m/>
  </r>
  <r>
    <n v="81"/>
    <s v="Talita Ferreira"/>
    <d v="1994-06-19T00:00:00"/>
    <s v="Brasil"/>
    <n v="1342"/>
    <x v="0"/>
    <n v="2265"/>
    <x v="0"/>
    <d v="2024-06-01T00:00:00"/>
    <d v="2025-04-03T00:00:00"/>
    <x v="9"/>
    <x v="17"/>
    <x v="0"/>
    <x v="5"/>
    <x v="5"/>
    <x v="1"/>
    <n v="2025"/>
    <m/>
  </r>
  <r>
    <n v="82"/>
    <s v="Clara Almeida"/>
    <d v="1975-01-20T00:00:00"/>
    <s v="Brasil"/>
    <n v="1227"/>
    <x v="2"/>
    <n v="9215"/>
    <x v="2"/>
    <d v="2024-06-01T00:00:00"/>
    <m/>
    <x v="10"/>
    <x v="2"/>
    <x v="1"/>
    <x v="5"/>
    <x v="2"/>
    <x v="1"/>
    <s v=""/>
    <m/>
  </r>
  <r>
    <n v="83"/>
    <s v="Camila Correia"/>
    <d v="1992-03-04T00:00:00"/>
    <s v="Brasil"/>
    <n v="1064"/>
    <x v="2"/>
    <n v="8475"/>
    <x v="2"/>
    <d v="2024-06-17T00:00:00"/>
    <m/>
    <x v="11"/>
    <x v="2"/>
    <x v="1"/>
    <x v="5"/>
    <x v="2"/>
    <x v="1"/>
    <s v=""/>
    <m/>
  </r>
  <r>
    <n v="84"/>
    <s v="Emanuel Teixeira"/>
    <d v="1980-05-20T00:00:00"/>
    <s v="Brasil"/>
    <n v="1345"/>
    <x v="4"/>
    <n v="16438"/>
    <x v="4"/>
    <d v="2024-06-18T00:00:00"/>
    <d v="2024-08-24T00:00:00"/>
    <x v="0"/>
    <x v="18"/>
    <x v="0"/>
    <x v="5"/>
    <x v="3"/>
    <x v="1"/>
    <n v="2024"/>
    <m/>
  </r>
  <r>
    <n v="85"/>
    <s v="Maria Batista"/>
    <d v="1984-12-17T00:00:00"/>
    <s v="Brasil"/>
    <n v="1242"/>
    <x v="2"/>
    <n v="8362"/>
    <x v="2"/>
    <d v="2024-06-19T00:00:00"/>
    <d v="2024-12-04T00:00:00"/>
    <x v="12"/>
    <x v="19"/>
    <x v="0"/>
    <x v="5"/>
    <x v="6"/>
    <x v="1"/>
    <n v="2024"/>
    <m/>
  </r>
  <r>
    <n v="86"/>
    <s v="Paula Costa"/>
    <d v="1979-12-24T00:00:00"/>
    <s v="Brasil"/>
    <n v="1213"/>
    <x v="1"/>
    <n v="4032"/>
    <x v="1"/>
    <d v="2024-06-23T00:00:00"/>
    <m/>
    <x v="0"/>
    <x v="2"/>
    <x v="1"/>
    <x v="5"/>
    <x v="2"/>
    <x v="1"/>
    <s v=""/>
    <m/>
  </r>
  <r>
    <n v="87"/>
    <s v="Vanessa Rocha"/>
    <d v="1995-05-22T00:00:00"/>
    <s v="Brasil"/>
    <n v="1181"/>
    <x v="12"/>
    <n v="1963"/>
    <x v="5"/>
    <d v="2024-06-27T00:00:00"/>
    <m/>
    <x v="0"/>
    <x v="2"/>
    <x v="1"/>
    <x v="5"/>
    <x v="2"/>
    <x v="1"/>
    <s v=""/>
    <m/>
  </r>
  <r>
    <n v="88"/>
    <s v="Elaine Pereira"/>
    <d v="1980-03-22T00:00:00"/>
    <s v="Brasil"/>
    <n v="1114"/>
    <x v="13"/>
    <n v="3774"/>
    <x v="7"/>
    <d v="2024-06-28T00:00:00"/>
    <d v="2025-02-24T00:00:00"/>
    <x v="0"/>
    <x v="20"/>
    <x v="0"/>
    <x v="5"/>
    <x v="9"/>
    <x v="1"/>
    <n v="2025"/>
    <m/>
  </r>
  <r>
    <n v="89"/>
    <s v="Vitor Ferreira"/>
    <d v="1972-01-28T00:00:00"/>
    <s v="Brasil"/>
    <n v="1333"/>
    <x v="6"/>
    <n v="3098"/>
    <x v="1"/>
    <d v="2024-06-29T00:00:00"/>
    <m/>
    <x v="0"/>
    <x v="2"/>
    <x v="1"/>
    <x v="5"/>
    <x v="2"/>
    <x v="1"/>
    <s v=""/>
    <m/>
  </r>
  <r>
    <n v="90"/>
    <s v="João Silva"/>
    <d v="1999-07-22T00:00:00"/>
    <s v="Brasil"/>
    <n v="1063"/>
    <x v="7"/>
    <n v="3572"/>
    <x v="6"/>
    <d v="2024-07-04T00:00:00"/>
    <d v="2025-06-06T00:00:00"/>
    <x v="13"/>
    <x v="21"/>
    <x v="0"/>
    <x v="6"/>
    <x v="8"/>
    <x v="1"/>
    <n v="2025"/>
    <m/>
  </r>
  <r>
    <n v="91"/>
    <s v="Sofia Cavalcanti"/>
    <d v="1997-11-09T00:00:00"/>
    <s v="Brasil"/>
    <n v="1090"/>
    <x v="0"/>
    <n v="4140"/>
    <x v="0"/>
    <d v="2024-07-12T00:00:00"/>
    <m/>
    <x v="0"/>
    <x v="2"/>
    <x v="1"/>
    <x v="6"/>
    <x v="2"/>
    <x v="1"/>
    <s v=""/>
    <m/>
  </r>
  <r>
    <n v="92"/>
    <s v="Elaine Costa"/>
    <d v="1976-04-06T00:00:00"/>
    <s v="Brasil"/>
    <n v="1082"/>
    <x v="4"/>
    <n v="17830"/>
    <x v="4"/>
    <d v="2024-07-14T00:00:00"/>
    <m/>
    <x v="14"/>
    <x v="2"/>
    <x v="1"/>
    <x v="6"/>
    <x v="2"/>
    <x v="1"/>
    <s v=""/>
    <m/>
  </r>
  <r>
    <n v="93"/>
    <s v="Eduarda Monteiro"/>
    <d v="1981-08-17T00:00:00"/>
    <s v="Brasil"/>
    <n v="1263"/>
    <x v="1"/>
    <n v="4735"/>
    <x v="1"/>
    <d v="2024-07-19T00:00:00"/>
    <m/>
    <x v="15"/>
    <x v="2"/>
    <x v="1"/>
    <x v="6"/>
    <x v="2"/>
    <x v="1"/>
    <s v=""/>
    <m/>
  </r>
  <r>
    <n v="94"/>
    <s v="Daniela Nascimento"/>
    <d v="1994-02-25T00:00:00"/>
    <s v="Brasil"/>
    <n v="1068"/>
    <x v="9"/>
    <n v="7073"/>
    <x v="0"/>
    <d v="2024-07-27T00:00:00"/>
    <m/>
    <x v="0"/>
    <x v="2"/>
    <x v="1"/>
    <x v="6"/>
    <x v="2"/>
    <x v="1"/>
    <s v=""/>
    <m/>
  </r>
  <r>
    <n v="95"/>
    <s v="Luana Cavalcanti"/>
    <d v="1993-09-21T00:00:00"/>
    <s v="Brasil"/>
    <n v="1279"/>
    <x v="4"/>
    <n v="9056"/>
    <x v="4"/>
    <d v="2024-07-30T00:00:00"/>
    <m/>
    <x v="0"/>
    <x v="2"/>
    <x v="1"/>
    <x v="6"/>
    <x v="2"/>
    <x v="1"/>
    <s v=""/>
    <m/>
  </r>
  <r>
    <n v="96"/>
    <s v="Nicole Lima"/>
    <d v="1975-12-15T00:00:00"/>
    <s v="Brasil"/>
    <n v="1237"/>
    <x v="2"/>
    <n v="9055"/>
    <x v="2"/>
    <d v="2024-08-08T00:00:00"/>
    <m/>
    <x v="0"/>
    <x v="2"/>
    <x v="1"/>
    <x v="7"/>
    <x v="2"/>
    <x v="1"/>
    <s v=""/>
    <m/>
  </r>
  <r>
    <n v="97"/>
    <s v="Zoe Gomes"/>
    <d v="1983-12-02T00:00:00"/>
    <s v="Brasil"/>
    <n v="1324"/>
    <x v="3"/>
    <n v="6391"/>
    <x v="3"/>
    <d v="2024-08-13T00:00:00"/>
    <d v="2025-07-08T00:00:00"/>
    <x v="16"/>
    <x v="22"/>
    <x v="0"/>
    <x v="7"/>
    <x v="0"/>
    <x v="1"/>
    <n v="2025"/>
    <m/>
  </r>
  <r>
    <n v="98"/>
    <s v="Zoe Teixeira"/>
    <d v="1993-10-18T00:00:00"/>
    <s v="Brasil"/>
    <n v="1093"/>
    <x v="11"/>
    <n v="7916"/>
    <x v="7"/>
    <d v="2024-08-14T00:00:00"/>
    <m/>
    <x v="17"/>
    <x v="2"/>
    <x v="1"/>
    <x v="7"/>
    <x v="2"/>
    <x v="1"/>
    <s v=""/>
    <m/>
  </r>
  <r>
    <n v="99"/>
    <s v="Nicole Moura"/>
    <d v="1988-09-24T00:00:00"/>
    <s v="Brasil"/>
    <n v="1137"/>
    <x v="2"/>
    <n v="10404"/>
    <x v="2"/>
    <d v="2024-08-15T00:00:00"/>
    <m/>
    <x v="18"/>
    <x v="2"/>
    <x v="1"/>
    <x v="7"/>
    <x v="2"/>
    <x v="1"/>
    <s v=""/>
    <m/>
  </r>
  <r>
    <n v="100"/>
    <s v="Helena Lima"/>
    <d v="1979-02-25T00:00:00"/>
    <s v="Brasil"/>
    <n v="1276"/>
    <x v="0"/>
    <n v="2840"/>
    <x v="0"/>
    <d v="2024-08-18T00:00:00"/>
    <m/>
    <x v="19"/>
    <x v="2"/>
    <x v="1"/>
    <x v="7"/>
    <x v="2"/>
    <x v="1"/>
    <s v=""/>
    <m/>
  </r>
  <r>
    <n v="101"/>
    <s v="Thiago Araújo"/>
    <d v="1996-09-29T00:00:00"/>
    <s v="Brasil"/>
    <n v="1266"/>
    <x v="12"/>
    <n v="1359"/>
    <x v="5"/>
    <d v="2024-08-23T00:00:00"/>
    <d v="2025-08-01T00:00:00"/>
    <x v="0"/>
    <x v="23"/>
    <x v="0"/>
    <x v="7"/>
    <x v="3"/>
    <x v="1"/>
    <n v="2025"/>
    <m/>
  </r>
  <r>
    <n v="102"/>
    <s v="Gustavo Batista"/>
    <d v="1984-02-10T00:00:00"/>
    <s v="Brasil"/>
    <n v="1144"/>
    <x v="9"/>
    <n v="12828"/>
    <x v="0"/>
    <d v="2024-08-30T00:00:00"/>
    <m/>
    <x v="20"/>
    <x v="2"/>
    <x v="1"/>
    <x v="7"/>
    <x v="2"/>
    <x v="1"/>
    <s v=""/>
    <m/>
  </r>
  <r>
    <n v="103"/>
    <s v="Daniela Cavalcanti"/>
    <d v="1973-04-19T00:00:00"/>
    <s v="Brasil"/>
    <n v="1022"/>
    <x v="8"/>
    <n v="6630"/>
    <x v="3"/>
    <d v="2024-08-31T00:00:00"/>
    <m/>
    <x v="0"/>
    <x v="2"/>
    <x v="1"/>
    <x v="7"/>
    <x v="2"/>
    <x v="1"/>
    <s v=""/>
    <m/>
  </r>
  <r>
    <n v="104"/>
    <s v="Davi Barbosa"/>
    <d v="1993-03-29T00:00:00"/>
    <s v="Brasil"/>
    <n v="1047"/>
    <x v="7"/>
    <n v="2863"/>
    <x v="6"/>
    <d v="2024-09-01T00:00:00"/>
    <m/>
    <x v="0"/>
    <x v="2"/>
    <x v="1"/>
    <x v="8"/>
    <x v="2"/>
    <x v="1"/>
    <s v=""/>
    <m/>
  </r>
  <r>
    <n v="105"/>
    <s v="Felipe Araújo"/>
    <d v="1981-02-07T00:00:00"/>
    <s v="Brasil"/>
    <n v="1323"/>
    <x v="1"/>
    <n v="4442"/>
    <x v="1"/>
    <d v="2024-09-04T00:00:00"/>
    <m/>
    <x v="0"/>
    <x v="2"/>
    <x v="1"/>
    <x v="8"/>
    <x v="2"/>
    <x v="1"/>
    <s v=""/>
    <m/>
  </r>
  <r>
    <n v="106"/>
    <s v="Vitor Barbosa"/>
    <d v="1988-07-24T00:00:00"/>
    <s v="Brasil"/>
    <n v="1129"/>
    <x v="14"/>
    <n v="14367"/>
    <x v="8"/>
    <d v="2024-09-12T00:00:00"/>
    <m/>
    <x v="0"/>
    <x v="2"/>
    <x v="1"/>
    <x v="8"/>
    <x v="2"/>
    <x v="1"/>
    <s v=""/>
    <m/>
  </r>
  <r>
    <n v="107"/>
    <s v="Beatriz Almeida"/>
    <d v="1996-08-30T00:00:00"/>
    <s v="Brasil"/>
    <n v="1058"/>
    <x v="7"/>
    <n v="3022"/>
    <x v="6"/>
    <d v="2024-09-16T00:00:00"/>
    <m/>
    <x v="21"/>
    <x v="2"/>
    <x v="1"/>
    <x v="8"/>
    <x v="2"/>
    <x v="1"/>
    <s v=""/>
    <m/>
  </r>
  <r>
    <n v="108"/>
    <s v="Kevin Araújo"/>
    <d v="1991-10-09T00:00:00"/>
    <s v="Brasil"/>
    <n v="1153"/>
    <x v="12"/>
    <n v="1247"/>
    <x v="5"/>
    <d v="2024-09-16T00:00:00"/>
    <d v="2025-06-17T00:00:00"/>
    <x v="22"/>
    <x v="24"/>
    <x v="0"/>
    <x v="8"/>
    <x v="8"/>
    <x v="1"/>
    <n v="2025"/>
    <m/>
  </r>
  <r>
    <n v="109"/>
    <s v="Clara Oliveira"/>
    <d v="1989-04-08T00:00:00"/>
    <s v="Brasil"/>
    <n v="1310"/>
    <x v="5"/>
    <n v="5185"/>
    <x v="5"/>
    <d v="2024-09-21T00:00:00"/>
    <m/>
    <x v="0"/>
    <x v="2"/>
    <x v="1"/>
    <x v="8"/>
    <x v="2"/>
    <x v="1"/>
    <s v=""/>
    <m/>
  </r>
  <r>
    <n v="110"/>
    <s v="Marcos Correia"/>
    <d v="1994-11-14T00:00:00"/>
    <s v="Brasil"/>
    <n v="1203"/>
    <x v="3"/>
    <n v="5923"/>
    <x v="3"/>
    <d v="2024-09-22T00:00:00"/>
    <m/>
    <x v="0"/>
    <x v="2"/>
    <x v="1"/>
    <x v="8"/>
    <x v="2"/>
    <x v="1"/>
    <s v=""/>
    <m/>
  </r>
  <r>
    <n v="111"/>
    <s v="Talita Gomes"/>
    <d v="1997-05-30T00:00:00"/>
    <s v="Brasil"/>
    <n v="1163"/>
    <x v="2"/>
    <n v="11453"/>
    <x v="2"/>
    <d v="2024-09-25T00:00:00"/>
    <m/>
    <x v="0"/>
    <x v="2"/>
    <x v="1"/>
    <x v="8"/>
    <x v="2"/>
    <x v="1"/>
    <s v=""/>
    <m/>
  </r>
  <r>
    <n v="112"/>
    <s v="Vitor Batista"/>
    <d v="1989-04-10T00:00:00"/>
    <s v="Brasil"/>
    <n v="1054"/>
    <x v="6"/>
    <n v="4122"/>
    <x v="1"/>
    <d v="2024-10-02T00:00:00"/>
    <m/>
    <x v="23"/>
    <x v="2"/>
    <x v="1"/>
    <x v="9"/>
    <x v="2"/>
    <x v="1"/>
    <s v=""/>
    <m/>
  </r>
  <r>
    <n v="113"/>
    <s v="Clara Moura"/>
    <d v="1970-02-05T00:00:00"/>
    <s v="Brasil"/>
    <n v="1270"/>
    <x v="7"/>
    <n v="3368"/>
    <x v="6"/>
    <d v="2024-10-04T00:00:00"/>
    <m/>
    <x v="0"/>
    <x v="2"/>
    <x v="1"/>
    <x v="9"/>
    <x v="2"/>
    <x v="1"/>
    <s v=""/>
    <m/>
  </r>
  <r>
    <n v="114"/>
    <s v="Carla Almeida"/>
    <d v="1999-01-20T00:00:00"/>
    <s v="Brasil"/>
    <n v="1337"/>
    <x v="10"/>
    <n v="2418"/>
    <x v="6"/>
    <d v="2024-10-05T00:00:00"/>
    <m/>
    <x v="24"/>
    <x v="2"/>
    <x v="1"/>
    <x v="9"/>
    <x v="2"/>
    <x v="1"/>
    <s v=""/>
    <m/>
  </r>
  <r>
    <n v="115"/>
    <s v="Elaine Freitas"/>
    <d v="1996-07-12T00:00:00"/>
    <s v="Brasil"/>
    <n v="1182"/>
    <x v="9"/>
    <n v="7107"/>
    <x v="0"/>
    <d v="2024-10-15T00:00:00"/>
    <m/>
    <x v="25"/>
    <x v="2"/>
    <x v="1"/>
    <x v="9"/>
    <x v="2"/>
    <x v="1"/>
    <s v=""/>
    <m/>
  </r>
  <r>
    <n v="116"/>
    <s v="Hugo Cardoso"/>
    <d v="1984-12-08T00:00:00"/>
    <s v="Brasil"/>
    <n v="1341"/>
    <x v="12"/>
    <n v="1416"/>
    <x v="5"/>
    <d v="2024-10-19T00:00:00"/>
    <m/>
    <x v="0"/>
    <x v="2"/>
    <x v="1"/>
    <x v="9"/>
    <x v="2"/>
    <x v="1"/>
    <s v=""/>
    <m/>
  </r>
  <r>
    <n v="117"/>
    <s v="Helena Cavalcanti"/>
    <d v="1995-06-21T00:00:00"/>
    <s v="Brasil"/>
    <n v="1029"/>
    <x v="2"/>
    <n v="11643"/>
    <x v="2"/>
    <d v="2024-10-20T00:00:00"/>
    <m/>
    <x v="26"/>
    <x v="2"/>
    <x v="1"/>
    <x v="9"/>
    <x v="2"/>
    <x v="1"/>
    <s v=""/>
    <m/>
  </r>
  <r>
    <n v="118"/>
    <s v="Rafael Pinto"/>
    <d v="1991-10-11T00:00:00"/>
    <s v="Brasil"/>
    <n v="1057"/>
    <x v="8"/>
    <n v="6462"/>
    <x v="3"/>
    <d v="2024-10-22T00:00:00"/>
    <m/>
    <x v="27"/>
    <x v="2"/>
    <x v="1"/>
    <x v="9"/>
    <x v="2"/>
    <x v="1"/>
    <s v=""/>
    <m/>
  </r>
  <r>
    <n v="119"/>
    <s v="Samuel Martins"/>
    <d v="1977-04-16T00:00:00"/>
    <s v="Brasil"/>
    <n v="1109"/>
    <x v="0"/>
    <n v="3415"/>
    <x v="0"/>
    <d v="2024-10-25T00:00:00"/>
    <m/>
    <x v="0"/>
    <x v="2"/>
    <x v="1"/>
    <x v="9"/>
    <x v="2"/>
    <x v="1"/>
    <s v=""/>
    <m/>
  </r>
  <r>
    <n v="120"/>
    <s v="Diego Almeida"/>
    <d v="1974-01-15T00:00:00"/>
    <s v="Brasil"/>
    <n v="1083"/>
    <x v="8"/>
    <n v="7459"/>
    <x v="3"/>
    <d v="2024-10-27T00:00:00"/>
    <m/>
    <x v="28"/>
    <x v="2"/>
    <x v="1"/>
    <x v="9"/>
    <x v="2"/>
    <x v="1"/>
    <s v=""/>
    <m/>
  </r>
  <r>
    <n v="121"/>
    <s v="Hugo Cavalcanti"/>
    <d v="1995-04-23T00:00:00"/>
    <s v="Brasil"/>
    <n v="1031"/>
    <x v="5"/>
    <n v="7640"/>
    <x v="5"/>
    <d v="2024-10-29T00:00:00"/>
    <d v="2025-03-22T00:00:00"/>
    <x v="29"/>
    <x v="25"/>
    <x v="0"/>
    <x v="9"/>
    <x v="1"/>
    <x v="1"/>
    <n v="2025"/>
    <m/>
  </r>
  <r>
    <n v="122"/>
    <s v="Bruno Cardoso"/>
    <d v="1995-09-30T00:00:00"/>
    <s v="Brasil"/>
    <n v="1322"/>
    <x v="8"/>
    <n v="5130"/>
    <x v="3"/>
    <d v="2024-10-29T00:00:00"/>
    <m/>
    <x v="30"/>
    <x v="2"/>
    <x v="1"/>
    <x v="9"/>
    <x v="2"/>
    <x v="1"/>
    <s v=""/>
    <m/>
  </r>
  <r>
    <n v="123"/>
    <s v="Luana Nascimento"/>
    <d v="1984-03-11T00:00:00"/>
    <s v="Brasil"/>
    <n v="1073"/>
    <x v="3"/>
    <n v="4177"/>
    <x v="3"/>
    <d v="2024-11-07T00:00:00"/>
    <m/>
    <x v="31"/>
    <x v="2"/>
    <x v="1"/>
    <x v="10"/>
    <x v="2"/>
    <x v="1"/>
    <s v=""/>
    <m/>
  </r>
  <r>
    <n v="124"/>
    <s v="Kevin Souza"/>
    <d v="1995-08-24T00:00:00"/>
    <s v="Brasil"/>
    <n v="1308"/>
    <x v="9"/>
    <n v="10396"/>
    <x v="0"/>
    <d v="2024-11-13T00:00:00"/>
    <m/>
    <x v="0"/>
    <x v="2"/>
    <x v="1"/>
    <x v="10"/>
    <x v="2"/>
    <x v="1"/>
    <s v=""/>
    <m/>
  </r>
  <r>
    <n v="125"/>
    <s v="Leandro Oliveira"/>
    <d v="1970-12-23T00:00:00"/>
    <s v="Brasil"/>
    <n v="1148"/>
    <x v="7"/>
    <n v="3092"/>
    <x v="6"/>
    <d v="2024-11-18T00:00:00"/>
    <m/>
    <x v="32"/>
    <x v="2"/>
    <x v="1"/>
    <x v="10"/>
    <x v="2"/>
    <x v="1"/>
    <s v=""/>
    <m/>
  </r>
  <r>
    <n v="126"/>
    <s v="Laura Costa"/>
    <d v="1994-09-08T00:00:00"/>
    <s v="Brasil"/>
    <n v="1295"/>
    <x v="5"/>
    <n v="3620"/>
    <x v="5"/>
    <d v="2024-11-19T00:00:00"/>
    <m/>
    <x v="0"/>
    <x v="2"/>
    <x v="1"/>
    <x v="10"/>
    <x v="2"/>
    <x v="1"/>
    <s v=""/>
    <m/>
  </r>
  <r>
    <n v="127"/>
    <s v="Lucas Correia"/>
    <d v="1970-04-07T00:00:00"/>
    <s v="Brasil"/>
    <n v="1260"/>
    <x v="7"/>
    <n v="3916"/>
    <x v="6"/>
    <d v="2024-11-21T00:00:00"/>
    <m/>
    <x v="0"/>
    <x v="2"/>
    <x v="1"/>
    <x v="10"/>
    <x v="2"/>
    <x v="1"/>
    <s v=""/>
    <m/>
  </r>
  <r>
    <n v="128"/>
    <s v="Beatriz Souza"/>
    <d v="1984-11-02T00:00:00"/>
    <s v="Brasil"/>
    <n v="1307"/>
    <x v="4"/>
    <n v="13438"/>
    <x v="4"/>
    <d v="2024-11-22T00:00:00"/>
    <m/>
    <x v="33"/>
    <x v="2"/>
    <x v="1"/>
    <x v="10"/>
    <x v="2"/>
    <x v="1"/>
    <s v=""/>
    <m/>
  </r>
  <r>
    <n v="129"/>
    <s v="Fábio Cavalcanti"/>
    <d v="1999-01-04T00:00:00"/>
    <s v="Brasil"/>
    <n v="1205"/>
    <x v="12"/>
    <n v="1579"/>
    <x v="5"/>
    <d v="2024-11-23T00:00:00"/>
    <d v="2025-01-23T00:00:00"/>
    <x v="34"/>
    <x v="26"/>
    <x v="0"/>
    <x v="10"/>
    <x v="2"/>
    <x v="1"/>
    <n v="2025"/>
    <m/>
  </r>
  <r>
    <n v="130"/>
    <s v="Jéssica Cardoso"/>
    <d v="1998-09-07T00:00:00"/>
    <s v="Brasil"/>
    <n v="1015"/>
    <x v="5"/>
    <n v="5506"/>
    <x v="5"/>
    <d v="2024-12-07T00:00:00"/>
    <m/>
    <x v="0"/>
    <x v="2"/>
    <x v="1"/>
    <x v="11"/>
    <x v="2"/>
    <x v="1"/>
    <s v=""/>
    <m/>
  </r>
  <r>
    <n v="131"/>
    <s v="Daniela Lima"/>
    <d v="1999-03-01T00:00:00"/>
    <s v="Brasil"/>
    <n v="1038"/>
    <x v="14"/>
    <n v="5708"/>
    <x v="8"/>
    <d v="2024-12-07T00:00:00"/>
    <m/>
    <x v="35"/>
    <x v="2"/>
    <x v="1"/>
    <x v="11"/>
    <x v="2"/>
    <x v="1"/>
    <s v=""/>
    <m/>
  </r>
  <r>
    <n v="132"/>
    <s v="Ana Almeida"/>
    <d v="1974-01-08T00:00:00"/>
    <s v="Brasil"/>
    <n v="1099"/>
    <x v="8"/>
    <n v="5945"/>
    <x v="3"/>
    <d v="2024-12-09T00:00:00"/>
    <m/>
    <x v="36"/>
    <x v="2"/>
    <x v="1"/>
    <x v="11"/>
    <x v="2"/>
    <x v="1"/>
    <s v=""/>
    <m/>
  </r>
  <r>
    <n v="133"/>
    <s v="Vitor Cardoso"/>
    <d v="1971-05-21T00:00:00"/>
    <s v="Brasil"/>
    <n v="1011"/>
    <x v="7"/>
    <n v="3325"/>
    <x v="6"/>
    <d v="2024-12-12T00:00:00"/>
    <m/>
    <x v="37"/>
    <x v="2"/>
    <x v="1"/>
    <x v="11"/>
    <x v="2"/>
    <x v="1"/>
    <s v=""/>
    <m/>
  </r>
  <r>
    <n v="134"/>
    <s v="Leandro Costa"/>
    <d v="1981-04-28T00:00:00"/>
    <s v="Brasil"/>
    <n v="1254"/>
    <x v="7"/>
    <n v="2523"/>
    <x v="6"/>
    <d v="2024-12-13T00:00:00"/>
    <m/>
    <x v="38"/>
    <x v="2"/>
    <x v="1"/>
    <x v="11"/>
    <x v="2"/>
    <x v="1"/>
    <s v=""/>
    <m/>
  </r>
  <r>
    <n v="135"/>
    <s v="Aline Dias"/>
    <d v="1986-08-10T00:00:00"/>
    <s v="Brasil"/>
    <n v="1171"/>
    <x v="3"/>
    <n v="6074"/>
    <x v="3"/>
    <d v="2024-12-20T00:00:00"/>
    <m/>
    <x v="0"/>
    <x v="2"/>
    <x v="1"/>
    <x v="11"/>
    <x v="2"/>
    <x v="1"/>
    <s v=""/>
    <m/>
  </r>
  <r>
    <n v="136"/>
    <s v="Juliana Souza"/>
    <d v="1997-06-26T00:00:00"/>
    <s v="Brasil"/>
    <n v="1199"/>
    <x v="0"/>
    <n v="4180"/>
    <x v="0"/>
    <d v="2024-12-24T00:00:00"/>
    <m/>
    <x v="0"/>
    <x v="2"/>
    <x v="1"/>
    <x v="11"/>
    <x v="2"/>
    <x v="1"/>
    <s v=""/>
    <m/>
  </r>
  <r>
    <n v="137"/>
    <s v="Gabriela Monteiro"/>
    <d v="1971-02-25T00:00:00"/>
    <s v="Brasil"/>
    <n v="1051"/>
    <x v="0"/>
    <n v="3012"/>
    <x v="0"/>
    <d v="2024-12-30T00:00:00"/>
    <m/>
    <x v="39"/>
    <x v="2"/>
    <x v="1"/>
    <x v="11"/>
    <x v="2"/>
    <x v="1"/>
    <s v=""/>
    <m/>
  </r>
  <r>
    <n v="138"/>
    <s v="Rodrigo Batista"/>
    <d v="1983-10-01T00:00:00"/>
    <s v="Brasil"/>
    <n v="1212"/>
    <x v="0"/>
    <n v="2541"/>
    <x v="0"/>
    <d v="2025-01-01T00:00:00"/>
    <m/>
    <x v="40"/>
    <x v="2"/>
    <x v="1"/>
    <x v="0"/>
    <x v="2"/>
    <x v="2"/>
    <s v=""/>
    <m/>
  </r>
  <r>
    <n v="139"/>
    <s v="Rafael Ferreira"/>
    <d v="2002-09-15T00:00:00"/>
    <s v="Brasil"/>
    <n v="1230"/>
    <x v="10"/>
    <n v="1924"/>
    <x v="6"/>
    <d v="2025-01-03T00:00:00"/>
    <m/>
    <x v="1"/>
    <x v="2"/>
    <x v="1"/>
    <x v="0"/>
    <x v="2"/>
    <x v="2"/>
    <s v=""/>
    <m/>
  </r>
  <r>
    <n v="140"/>
    <s v="Eduarda Araújo"/>
    <d v="1978-07-14T00:00:00"/>
    <s v="Brasil"/>
    <n v="1330"/>
    <x v="6"/>
    <n v="4528"/>
    <x v="1"/>
    <d v="2025-01-11T00:00:00"/>
    <d v="2025-12-02T00:00:00"/>
    <x v="0"/>
    <x v="27"/>
    <x v="0"/>
    <x v="0"/>
    <x v="6"/>
    <x v="2"/>
    <n v="2025"/>
    <m/>
  </r>
  <r>
    <n v="141"/>
    <s v="Beatriz Teixeira"/>
    <d v="1974-03-06T00:00:00"/>
    <s v="Brasil"/>
    <n v="1240"/>
    <x v="8"/>
    <n v="6345"/>
    <x v="3"/>
    <d v="2025-01-14T00:00:00"/>
    <m/>
    <x v="2"/>
    <x v="2"/>
    <x v="1"/>
    <x v="0"/>
    <x v="2"/>
    <x v="2"/>
    <s v=""/>
    <m/>
  </r>
  <r>
    <n v="142"/>
    <s v="João Freitas"/>
    <d v="1995-12-13T00:00:00"/>
    <s v="Brasil"/>
    <n v="1331"/>
    <x v="4"/>
    <n v="16871"/>
    <x v="4"/>
    <d v="2025-01-20T00:00:00"/>
    <d v="2025-09-30T00:00:00"/>
    <x v="0"/>
    <x v="28"/>
    <x v="0"/>
    <x v="0"/>
    <x v="11"/>
    <x v="2"/>
    <n v="2025"/>
    <m/>
  </r>
  <r>
    <n v="143"/>
    <s v="Nicole Mendes"/>
    <d v="1993-10-29T00:00:00"/>
    <s v="Brasil"/>
    <n v="1117"/>
    <x v="0"/>
    <n v="2548"/>
    <x v="0"/>
    <d v="2025-01-23T00:00:00"/>
    <d v="2025-09-28T00:00:00"/>
    <x v="3"/>
    <x v="29"/>
    <x v="0"/>
    <x v="0"/>
    <x v="11"/>
    <x v="2"/>
    <n v="2025"/>
    <m/>
  </r>
  <r>
    <n v="144"/>
    <s v="Paula Almeida"/>
    <d v="2001-02-06T00:00:00"/>
    <s v="Brasil"/>
    <n v="1060"/>
    <x v="0"/>
    <n v="2593"/>
    <x v="0"/>
    <d v="2025-01-23T00:00:00"/>
    <m/>
    <x v="4"/>
    <x v="2"/>
    <x v="1"/>
    <x v="0"/>
    <x v="2"/>
    <x v="2"/>
    <s v=""/>
    <m/>
  </r>
  <r>
    <n v="145"/>
    <s v="Zoe Barbosa"/>
    <d v="1995-04-01T00:00:00"/>
    <s v="Brasil"/>
    <n v="1152"/>
    <x v="13"/>
    <n v="2242"/>
    <x v="7"/>
    <d v="2025-01-24T00:00:00"/>
    <m/>
    <x v="5"/>
    <x v="2"/>
    <x v="1"/>
    <x v="0"/>
    <x v="2"/>
    <x v="2"/>
    <s v=""/>
    <m/>
  </r>
  <r>
    <n v="146"/>
    <s v="Samuel Santos"/>
    <d v="1973-04-26T00:00:00"/>
    <s v="Brasil"/>
    <n v="1123"/>
    <x v="0"/>
    <n v="3392"/>
    <x v="0"/>
    <d v="2025-01-27T00:00:00"/>
    <m/>
    <x v="6"/>
    <x v="2"/>
    <x v="1"/>
    <x v="0"/>
    <x v="2"/>
    <x v="2"/>
    <s v=""/>
    <m/>
  </r>
  <r>
    <n v="147"/>
    <s v="André Dias"/>
    <d v="1997-10-27T00:00:00"/>
    <s v="Brasil"/>
    <n v="1162"/>
    <x v="14"/>
    <n v="12412"/>
    <x v="8"/>
    <d v="2025-01-30T00:00:00"/>
    <m/>
    <x v="0"/>
    <x v="2"/>
    <x v="1"/>
    <x v="0"/>
    <x v="2"/>
    <x v="2"/>
    <s v=""/>
    <m/>
  </r>
  <r>
    <n v="148"/>
    <s v="Isabela Correia"/>
    <d v="1980-08-14T00:00:00"/>
    <s v="Brasil"/>
    <n v="1143"/>
    <x v="5"/>
    <n v="6522"/>
    <x v="5"/>
    <d v="2025-01-30T00:00:00"/>
    <m/>
    <x v="0"/>
    <x v="2"/>
    <x v="1"/>
    <x v="0"/>
    <x v="2"/>
    <x v="2"/>
    <s v=""/>
    <m/>
  </r>
  <r>
    <n v="149"/>
    <s v="Yasmin Rodrigues"/>
    <d v="1995-11-27T00:00:00"/>
    <s v="Brasil"/>
    <n v="1168"/>
    <x v="3"/>
    <n v="3786"/>
    <x v="3"/>
    <d v="2025-02-04T00:00:00"/>
    <m/>
    <x v="7"/>
    <x v="2"/>
    <x v="1"/>
    <x v="1"/>
    <x v="2"/>
    <x v="2"/>
    <s v=""/>
    <m/>
  </r>
  <r>
    <n v="150"/>
    <s v="Yasmin Teixeira"/>
    <d v="1987-01-24T00:00:00"/>
    <s v="Brasil"/>
    <n v="1067"/>
    <x v="12"/>
    <n v="1504"/>
    <x v="5"/>
    <d v="2025-02-08T00:00:00"/>
    <m/>
    <x v="0"/>
    <x v="2"/>
    <x v="1"/>
    <x v="1"/>
    <x v="2"/>
    <x v="2"/>
    <s v=""/>
    <m/>
  </r>
  <r>
    <n v="151"/>
    <s v="Mirela Moura"/>
    <d v="1996-10-08T00:00:00"/>
    <s v="Brasil"/>
    <n v="1206"/>
    <x v="13"/>
    <n v="2606"/>
    <x v="7"/>
    <d v="2025-02-11T00:00:00"/>
    <m/>
    <x v="8"/>
    <x v="2"/>
    <x v="1"/>
    <x v="1"/>
    <x v="2"/>
    <x v="2"/>
    <s v=""/>
    <m/>
  </r>
  <r>
    <n v="152"/>
    <s v="Larissa Ribeiro"/>
    <d v="1977-06-17T00:00:00"/>
    <s v="Brasil"/>
    <n v="1275"/>
    <x v="6"/>
    <n v="3675"/>
    <x v="1"/>
    <d v="2025-02-12T00:00:00"/>
    <m/>
    <x v="0"/>
    <x v="2"/>
    <x v="1"/>
    <x v="1"/>
    <x v="2"/>
    <x v="2"/>
    <s v=""/>
    <m/>
  </r>
  <r>
    <n v="153"/>
    <s v="Igor Cavalcanti"/>
    <d v="2001-10-10T00:00:00"/>
    <s v="Brasil"/>
    <n v="1103"/>
    <x v="6"/>
    <n v="3083"/>
    <x v="1"/>
    <d v="2025-02-14T00:00:00"/>
    <m/>
    <x v="0"/>
    <x v="2"/>
    <x v="1"/>
    <x v="1"/>
    <x v="2"/>
    <x v="2"/>
    <s v=""/>
    <m/>
  </r>
  <r>
    <n v="154"/>
    <s v="Vanessa Nascimento"/>
    <d v="1977-01-31T00:00:00"/>
    <s v="Brasil"/>
    <n v="1264"/>
    <x v="10"/>
    <n v="2777"/>
    <x v="6"/>
    <d v="2025-02-16T00:00:00"/>
    <m/>
    <x v="0"/>
    <x v="2"/>
    <x v="1"/>
    <x v="1"/>
    <x v="2"/>
    <x v="2"/>
    <s v=""/>
    <m/>
  </r>
  <r>
    <n v="155"/>
    <s v="Rodrigo Carvalho"/>
    <d v="1978-05-19T00:00:00"/>
    <s v="Brasil"/>
    <n v="1187"/>
    <x v="4"/>
    <n v="15018"/>
    <x v="4"/>
    <d v="2025-02-16T00:00:00"/>
    <m/>
    <x v="9"/>
    <x v="2"/>
    <x v="1"/>
    <x v="1"/>
    <x v="2"/>
    <x v="2"/>
    <s v=""/>
    <m/>
  </r>
  <r>
    <n v="156"/>
    <s v="Luana Batista"/>
    <d v="1991-03-21T00:00:00"/>
    <s v="Brasil"/>
    <n v="1100"/>
    <x v="3"/>
    <n v="3597"/>
    <x v="3"/>
    <d v="2025-02-17T00:00:00"/>
    <m/>
    <x v="10"/>
    <x v="2"/>
    <x v="1"/>
    <x v="1"/>
    <x v="2"/>
    <x v="2"/>
    <s v=""/>
    <m/>
  </r>
  <r>
    <n v="157"/>
    <s v="Camila Oliveira"/>
    <d v="2003-09-23T00:00:00"/>
    <s v="Brasil"/>
    <n v="1023"/>
    <x v="5"/>
    <n v="4319"/>
    <x v="5"/>
    <d v="2025-02-18T00:00:00"/>
    <d v="2025-11-30T00:00:00"/>
    <x v="11"/>
    <x v="30"/>
    <x v="0"/>
    <x v="1"/>
    <x v="10"/>
    <x v="2"/>
    <n v="2025"/>
    <m/>
  </r>
  <r>
    <n v="158"/>
    <s v="Fábio Nascimento"/>
    <d v="1999-06-01T00:00:00"/>
    <s v="Brasil"/>
    <n v="1085"/>
    <x v="7"/>
    <n v="3707"/>
    <x v="6"/>
    <d v="2025-02-19T00:00:00"/>
    <m/>
    <x v="12"/>
    <x v="2"/>
    <x v="1"/>
    <x v="1"/>
    <x v="2"/>
    <x v="2"/>
    <s v=""/>
    <m/>
  </r>
  <r>
    <n v="159"/>
    <s v="Yasmin Dias"/>
    <d v="2002-06-19T00:00:00"/>
    <s v="Brasil"/>
    <n v="1202"/>
    <x v="9"/>
    <n v="11273"/>
    <x v="0"/>
    <d v="2025-02-24T00:00:00"/>
    <m/>
    <x v="0"/>
    <x v="2"/>
    <x v="1"/>
    <x v="1"/>
    <x v="2"/>
    <x v="2"/>
    <s v=""/>
    <m/>
  </r>
  <r>
    <n v="160"/>
    <s v="Leandro Almeida"/>
    <d v="1999-10-04T00:00:00"/>
    <s v="Brasil"/>
    <n v="1124"/>
    <x v="4"/>
    <n v="17308"/>
    <x v="4"/>
    <d v="2025-02-26T00:00:00"/>
    <m/>
    <x v="13"/>
    <x v="2"/>
    <x v="1"/>
    <x v="1"/>
    <x v="2"/>
    <x v="2"/>
    <s v=""/>
    <m/>
  </r>
  <r>
    <n v="161"/>
    <s v="Vitor Nascimento"/>
    <d v="2003-11-03T00:00:00"/>
    <s v="Brasil"/>
    <n v="1020"/>
    <x v="2"/>
    <n v="9739"/>
    <x v="2"/>
    <d v="2025-02-26T00:00:00"/>
    <m/>
    <x v="0"/>
    <x v="2"/>
    <x v="1"/>
    <x v="1"/>
    <x v="2"/>
    <x v="2"/>
    <s v=""/>
    <m/>
  </r>
  <r>
    <n v="162"/>
    <s v="Lucas Pinto"/>
    <d v="1971-05-12T00:00:00"/>
    <s v="Brasil"/>
    <n v="1326"/>
    <x v="12"/>
    <n v="1496"/>
    <x v="5"/>
    <d v="2025-03-03T00:00:00"/>
    <m/>
    <x v="14"/>
    <x v="2"/>
    <x v="1"/>
    <x v="2"/>
    <x v="2"/>
    <x v="2"/>
    <s v=""/>
    <m/>
  </r>
  <r>
    <n v="163"/>
    <s v="Laura Pereira"/>
    <d v="2000-08-03T00:00:00"/>
    <s v="Brasil"/>
    <n v="1043"/>
    <x v="10"/>
    <n v="1932"/>
    <x v="6"/>
    <d v="2025-03-04T00:00:00"/>
    <m/>
    <x v="15"/>
    <x v="2"/>
    <x v="1"/>
    <x v="2"/>
    <x v="2"/>
    <x v="2"/>
    <s v=""/>
    <m/>
  </r>
  <r>
    <n v="164"/>
    <s v="William Lima"/>
    <d v="1982-07-30T00:00:00"/>
    <s v="Brasil"/>
    <n v="1284"/>
    <x v="0"/>
    <n v="2567"/>
    <x v="0"/>
    <d v="2025-03-07T00:00:00"/>
    <m/>
    <x v="16"/>
    <x v="2"/>
    <x v="1"/>
    <x v="2"/>
    <x v="2"/>
    <x v="2"/>
    <s v=""/>
    <m/>
  </r>
  <r>
    <n v="165"/>
    <s v="Flávia Rocha"/>
    <d v="2003-12-13T00:00:00"/>
    <s v="Brasil"/>
    <n v="1158"/>
    <x v="14"/>
    <n v="14151"/>
    <x v="8"/>
    <d v="2025-03-08T00:00:00"/>
    <d v="2025-08-19T00:00:00"/>
    <x v="0"/>
    <x v="31"/>
    <x v="0"/>
    <x v="2"/>
    <x v="3"/>
    <x v="2"/>
    <n v="2025"/>
    <m/>
  </r>
  <r>
    <n v="166"/>
    <s v="Mirela Araújo"/>
    <d v="1978-05-07T00:00:00"/>
    <s v="Brasil"/>
    <n v="1113"/>
    <x v="8"/>
    <n v="7241"/>
    <x v="3"/>
    <d v="2025-03-12T00:00:00"/>
    <m/>
    <x v="17"/>
    <x v="2"/>
    <x v="1"/>
    <x v="2"/>
    <x v="2"/>
    <x v="2"/>
    <s v=""/>
    <m/>
  </r>
  <r>
    <n v="167"/>
    <s v="Diego Pinto"/>
    <d v="1975-06-25T00:00:00"/>
    <s v="Brasil"/>
    <n v="1188"/>
    <x v="13"/>
    <n v="3314"/>
    <x v="7"/>
    <d v="2025-03-14T00:00:00"/>
    <m/>
    <x v="0"/>
    <x v="2"/>
    <x v="1"/>
    <x v="2"/>
    <x v="2"/>
    <x v="2"/>
    <s v=""/>
    <m/>
  </r>
  <r>
    <n v="168"/>
    <s v="Sofia Pereira"/>
    <d v="1998-06-15T00:00:00"/>
    <s v="Brasil"/>
    <n v="1255"/>
    <x v="1"/>
    <n v="2780"/>
    <x v="1"/>
    <d v="2025-03-15T00:00:00"/>
    <d v="2026-01-22T00:00:00"/>
    <x v="0"/>
    <x v="32"/>
    <x v="0"/>
    <x v="2"/>
    <x v="2"/>
    <x v="2"/>
    <n v="2026"/>
    <m/>
  </r>
  <r>
    <n v="169"/>
    <s v="Aline Rodrigues"/>
    <d v="1982-03-19T00:00:00"/>
    <s v="Brasil"/>
    <n v="1294"/>
    <x v="8"/>
    <n v="5293"/>
    <x v="3"/>
    <d v="2025-03-23T00:00:00"/>
    <d v="2025-06-25T00:00:00"/>
    <x v="0"/>
    <x v="33"/>
    <x v="0"/>
    <x v="2"/>
    <x v="8"/>
    <x v="2"/>
    <n v="2025"/>
    <m/>
  </r>
  <r>
    <n v="170"/>
    <s v="Daniela Freitas"/>
    <d v="1975-06-12T00:00:00"/>
    <s v="Brasil"/>
    <n v="1215"/>
    <x v="2"/>
    <n v="13702"/>
    <x v="2"/>
    <d v="2025-03-28T00:00:00"/>
    <m/>
    <x v="18"/>
    <x v="2"/>
    <x v="1"/>
    <x v="2"/>
    <x v="2"/>
    <x v="2"/>
    <s v=""/>
    <m/>
  </r>
  <r>
    <n v="171"/>
    <s v="Leandro Ferreira"/>
    <d v="2000-07-15T00:00:00"/>
    <s v="Brasil"/>
    <n v="1055"/>
    <x v="5"/>
    <n v="4400"/>
    <x v="5"/>
    <d v="2025-04-02T00:00:00"/>
    <d v="2025-09-27T00:00:00"/>
    <x v="19"/>
    <x v="34"/>
    <x v="0"/>
    <x v="3"/>
    <x v="11"/>
    <x v="2"/>
    <n v="2025"/>
    <m/>
  </r>
  <r>
    <n v="172"/>
    <s v="Diego Monteiro"/>
    <d v="1988-05-29T00:00:00"/>
    <s v="Brasil"/>
    <n v="1299"/>
    <x v="14"/>
    <n v="12926"/>
    <x v="8"/>
    <d v="2025-04-03T00:00:00"/>
    <m/>
    <x v="0"/>
    <x v="2"/>
    <x v="1"/>
    <x v="3"/>
    <x v="2"/>
    <x v="2"/>
    <s v=""/>
    <m/>
  </r>
  <r>
    <n v="173"/>
    <s v="Daniela Barbosa"/>
    <d v="1970-10-08T00:00:00"/>
    <s v="Brasil"/>
    <n v="1107"/>
    <x v="1"/>
    <n v="3334"/>
    <x v="1"/>
    <d v="2025-04-07T00:00:00"/>
    <d v="2025-09-24T00:00:00"/>
    <x v="20"/>
    <x v="35"/>
    <x v="0"/>
    <x v="3"/>
    <x v="11"/>
    <x v="2"/>
    <n v="2025"/>
    <m/>
  </r>
  <r>
    <n v="174"/>
    <s v="Luiz Mendes"/>
    <d v="1974-03-11T00:00:00"/>
    <s v="Brasil"/>
    <n v="1132"/>
    <x v="10"/>
    <n v="3012"/>
    <x v="6"/>
    <d v="2025-04-10T00:00:00"/>
    <m/>
    <x v="21"/>
    <x v="2"/>
    <x v="1"/>
    <x v="3"/>
    <x v="2"/>
    <x v="2"/>
    <s v=""/>
    <m/>
  </r>
  <r>
    <n v="175"/>
    <s v="Luana Araújo"/>
    <d v="1995-07-13T00:00:00"/>
    <s v="Brasil"/>
    <n v="1157"/>
    <x v="11"/>
    <n v="4203"/>
    <x v="7"/>
    <d v="2025-04-12T00:00:00"/>
    <m/>
    <x v="22"/>
    <x v="2"/>
    <x v="1"/>
    <x v="3"/>
    <x v="2"/>
    <x v="2"/>
    <s v=""/>
    <m/>
  </r>
  <r>
    <n v="176"/>
    <s v="Elaine Costa"/>
    <d v="1971-03-13T00:00:00"/>
    <s v="Brasil"/>
    <n v="1338"/>
    <x v="5"/>
    <n v="7612"/>
    <x v="5"/>
    <d v="2025-04-22T00:00:00"/>
    <m/>
    <x v="23"/>
    <x v="2"/>
    <x v="1"/>
    <x v="3"/>
    <x v="2"/>
    <x v="2"/>
    <s v=""/>
    <m/>
  </r>
  <r>
    <n v="177"/>
    <s v="Luiz Teixeira"/>
    <d v="1982-05-24T00:00:00"/>
    <s v="Brasil"/>
    <n v="1070"/>
    <x v="9"/>
    <n v="8688"/>
    <x v="0"/>
    <d v="2025-04-23T00:00:00"/>
    <m/>
    <x v="24"/>
    <x v="2"/>
    <x v="1"/>
    <x v="3"/>
    <x v="2"/>
    <x v="2"/>
    <s v=""/>
    <m/>
  </r>
  <r>
    <n v="178"/>
    <s v="Samuel Rocha"/>
    <d v="1991-04-28T00:00:00"/>
    <s v="Brasil"/>
    <n v="1344"/>
    <x v="2"/>
    <n v="13645"/>
    <x v="2"/>
    <d v="2025-05-01T00:00:00"/>
    <m/>
    <x v="25"/>
    <x v="2"/>
    <x v="1"/>
    <x v="4"/>
    <x v="2"/>
    <x v="2"/>
    <s v=""/>
    <m/>
  </r>
  <r>
    <n v="179"/>
    <s v="Carla Cavalcanti"/>
    <d v="1994-10-06T00:00:00"/>
    <s v="Brasil"/>
    <n v="1098"/>
    <x v="1"/>
    <n v="4081"/>
    <x v="1"/>
    <d v="2025-05-04T00:00:00"/>
    <m/>
    <x v="0"/>
    <x v="2"/>
    <x v="1"/>
    <x v="4"/>
    <x v="2"/>
    <x v="2"/>
    <s v=""/>
    <m/>
  </r>
  <r>
    <n v="180"/>
    <s v="Yasmin Cardoso"/>
    <d v="1993-01-09T00:00:00"/>
    <s v="Brasil"/>
    <n v="1296"/>
    <x v="6"/>
    <n v="3036"/>
    <x v="1"/>
    <d v="2025-05-04T00:00:00"/>
    <m/>
    <x v="0"/>
    <x v="2"/>
    <x v="1"/>
    <x v="4"/>
    <x v="2"/>
    <x v="2"/>
    <s v=""/>
    <m/>
  </r>
  <r>
    <n v="181"/>
    <s v="Ana Oliveira"/>
    <d v="1993-03-20T00:00:00"/>
    <s v="Brasil"/>
    <n v="1244"/>
    <x v="13"/>
    <n v="2460"/>
    <x v="7"/>
    <d v="2025-05-04T00:00:00"/>
    <d v="2025-08-24T00:00:00"/>
    <x v="26"/>
    <x v="36"/>
    <x v="0"/>
    <x v="4"/>
    <x v="3"/>
    <x v="2"/>
    <n v="2025"/>
    <m/>
  </r>
  <r>
    <n v="182"/>
    <s v="Samuel Dias"/>
    <d v="1992-01-03T00:00:00"/>
    <s v="Brasil"/>
    <n v="1167"/>
    <x v="2"/>
    <n v="7773"/>
    <x v="2"/>
    <d v="2025-05-05T00:00:00"/>
    <d v="2025-12-23T00:00:00"/>
    <x v="0"/>
    <x v="37"/>
    <x v="0"/>
    <x v="4"/>
    <x v="6"/>
    <x v="2"/>
    <n v="2025"/>
    <m/>
  </r>
  <r>
    <n v="183"/>
    <s v="Igor Freitas"/>
    <d v="1975-02-02T00:00:00"/>
    <s v="Brasil"/>
    <n v="1128"/>
    <x v="13"/>
    <n v="3020"/>
    <x v="7"/>
    <d v="2025-05-08T00:00:00"/>
    <m/>
    <x v="27"/>
    <x v="2"/>
    <x v="1"/>
    <x v="4"/>
    <x v="2"/>
    <x v="2"/>
    <s v=""/>
    <m/>
  </r>
  <r>
    <n v="184"/>
    <s v="Kevin Teixeira"/>
    <d v="1989-02-15T00:00:00"/>
    <s v="Brasil"/>
    <n v="1110"/>
    <x v="3"/>
    <n v="5779"/>
    <x v="3"/>
    <d v="2025-05-13T00:00:00"/>
    <d v="2025-08-01T00:00:00"/>
    <x v="28"/>
    <x v="38"/>
    <x v="0"/>
    <x v="4"/>
    <x v="3"/>
    <x v="2"/>
    <n v="2025"/>
    <m/>
  </r>
  <r>
    <n v="185"/>
    <s v="Marcos Mendes"/>
    <d v="1977-11-08T00:00:00"/>
    <s v="Brasil"/>
    <n v="1217"/>
    <x v="12"/>
    <n v="1237"/>
    <x v="5"/>
    <d v="2025-05-17T00:00:00"/>
    <m/>
    <x v="29"/>
    <x v="2"/>
    <x v="1"/>
    <x v="4"/>
    <x v="2"/>
    <x v="2"/>
    <s v=""/>
    <m/>
  </r>
  <r>
    <n v="186"/>
    <s v="Felipe Teixeira"/>
    <d v="1992-03-15T00:00:00"/>
    <s v="Brasil"/>
    <n v="1089"/>
    <x v="10"/>
    <n v="2651"/>
    <x v="6"/>
    <d v="2025-05-18T00:00:00"/>
    <m/>
    <x v="30"/>
    <x v="2"/>
    <x v="1"/>
    <x v="4"/>
    <x v="2"/>
    <x v="2"/>
    <s v=""/>
    <m/>
  </r>
  <r>
    <n v="187"/>
    <s v="Felipe Souza"/>
    <d v="1987-07-19T00:00:00"/>
    <s v="Brasil"/>
    <n v="1315"/>
    <x v="14"/>
    <n v="13399"/>
    <x v="8"/>
    <d v="2025-05-21T00:00:00"/>
    <d v="2025-12-28T00:00:00"/>
    <x v="31"/>
    <x v="39"/>
    <x v="0"/>
    <x v="4"/>
    <x v="6"/>
    <x v="2"/>
    <n v="2025"/>
    <m/>
  </r>
  <r>
    <n v="188"/>
    <s v="Rafael Ribeiro"/>
    <d v="1972-07-20T00:00:00"/>
    <s v="Brasil"/>
    <n v="1189"/>
    <x v="13"/>
    <n v="2140"/>
    <x v="7"/>
    <d v="2025-05-23T00:00:00"/>
    <m/>
    <x v="0"/>
    <x v="2"/>
    <x v="1"/>
    <x v="4"/>
    <x v="2"/>
    <x v="2"/>
    <s v=""/>
    <m/>
  </r>
  <r>
    <n v="189"/>
    <s v="Fábio Pereira"/>
    <d v="2000-02-12T00:00:00"/>
    <s v="Brasil"/>
    <n v="1282"/>
    <x v="14"/>
    <n v="10422"/>
    <x v="8"/>
    <d v="2025-05-23T00:00:00"/>
    <m/>
    <x v="32"/>
    <x v="2"/>
    <x v="1"/>
    <x v="4"/>
    <x v="2"/>
    <x v="2"/>
    <s v=""/>
    <m/>
  </r>
  <r>
    <n v="190"/>
    <s v="Thiago Cavalcanti"/>
    <d v="2001-10-02T00:00:00"/>
    <s v="Brasil"/>
    <n v="1078"/>
    <x v="3"/>
    <n v="3328"/>
    <x v="3"/>
    <d v="2025-05-30T00:00:00"/>
    <m/>
    <x v="33"/>
    <x v="2"/>
    <x v="1"/>
    <x v="4"/>
    <x v="2"/>
    <x v="2"/>
    <s v=""/>
    <m/>
  </r>
  <r>
    <n v="191"/>
    <s v="Otávio Cavalcanti"/>
    <d v="1974-10-20T00:00:00"/>
    <s v="Brasil"/>
    <n v="1079"/>
    <x v="2"/>
    <n v="9616"/>
    <x v="2"/>
    <d v="2025-05-30T00:00:00"/>
    <m/>
    <x v="0"/>
    <x v="2"/>
    <x v="1"/>
    <x v="4"/>
    <x v="2"/>
    <x v="2"/>
    <s v=""/>
    <m/>
  </r>
  <r>
    <n v="192"/>
    <s v="Fábio Martins"/>
    <d v="1979-04-12T00:00:00"/>
    <s v="Brasil"/>
    <n v="1300"/>
    <x v="11"/>
    <n v="4360"/>
    <x v="7"/>
    <d v="2025-06-04T00:00:00"/>
    <m/>
    <x v="0"/>
    <x v="2"/>
    <x v="1"/>
    <x v="5"/>
    <x v="2"/>
    <x v="2"/>
    <s v=""/>
    <m/>
  </r>
  <r>
    <n v="193"/>
    <s v="Clara Cavalcanti"/>
    <d v="1976-03-16T00:00:00"/>
    <s v="Brasil"/>
    <n v="1210"/>
    <x v="6"/>
    <n v="2992"/>
    <x v="1"/>
    <d v="2025-06-06T00:00:00"/>
    <m/>
    <x v="34"/>
    <x v="2"/>
    <x v="1"/>
    <x v="5"/>
    <x v="2"/>
    <x v="2"/>
    <s v=""/>
    <m/>
  </r>
  <r>
    <n v="194"/>
    <s v="Vitor Batista"/>
    <d v="2001-07-12T00:00:00"/>
    <s v="Brasil"/>
    <n v="1200"/>
    <x v="13"/>
    <n v="3731"/>
    <x v="7"/>
    <d v="2025-06-12T00:00:00"/>
    <m/>
    <x v="0"/>
    <x v="2"/>
    <x v="1"/>
    <x v="5"/>
    <x v="2"/>
    <x v="2"/>
    <s v=""/>
    <m/>
  </r>
  <r>
    <n v="195"/>
    <s v="Davi Carvalho"/>
    <d v="1999-09-11T00:00:00"/>
    <s v="Brasil"/>
    <n v="1126"/>
    <x v="6"/>
    <n v="4610"/>
    <x v="1"/>
    <d v="2025-06-13T00:00:00"/>
    <m/>
    <x v="35"/>
    <x v="2"/>
    <x v="1"/>
    <x v="5"/>
    <x v="2"/>
    <x v="2"/>
    <s v=""/>
    <m/>
  </r>
  <r>
    <n v="196"/>
    <s v="Rafael Dias"/>
    <d v="1993-12-08T00:00:00"/>
    <s v="Brasil"/>
    <n v="1267"/>
    <x v="9"/>
    <n v="13646"/>
    <x v="0"/>
    <d v="2025-06-16T00:00:00"/>
    <m/>
    <x v="0"/>
    <x v="2"/>
    <x v="1"/>
    <x v="5"/>
    <x v="2"/>
    <x v="2"/>
    <s v=""/>
    <m/>
  </r>
  <r>
    <n v="197"/>
    <s v="Gabriela Souza"/>
    <d v="1975-05-30T00:00:00"/>
    <s v="Brasil"/>
    <n v="1155"/>
    <x v="4"/>
    <n v="16826"/>
    <x v="4"/>
    <d v="2025-06-22T00:00:00"/>
    <d v="2025-10-24T00:00:00"/>
    <x v="0"/>
    <x v="40"/>
    <x v="0"/>
    <x v="5"/>
    <x v="7"/>
    <x v="2"/>
    <n v="2025"/>
    <m/>
  </r>
  <r>
    <n v="198"/>
    <s v="Davi Dias"/>
    <d v="1972-09-25T00:00:00"/>
    <s v="Brasil"/>
    <n v="1048"/>
    <x v="0"/>
    <n v="3482"/>
    <x v="0"/>
    <d v="2025-06-27T00:00:00"/>
    <m/>
    <x v="36"/>
    <x v="2"/>
    <x v="1"/>
    <x v="5"/>
    <x v="2"/>
    <x v="2"/>
    <s v=""/>
    <m/>
  </r>
  <r>
    <n v="199"/>
    <s v="Vitor Carvalho"/>
    <d v="2003-04-15T00:00:00"/>
    <s v="Brasil"/>
    <n v="1120"/>
    <x v="11"/>
    <n v="7966"/>
    <x v="7"/>
    <d v="2025-07-10T00:00:00"/>
    <m/>
    <x v="0"/>
    <x v="2"/>
    <x v="1"/>
    <x v="6"/>
    <x v="2"/>
    <x v="2"/>
    <s v=""/>
    <m/>
  </r>
  <r>
    <n v="200"/>
    <s v="Isabela Monteiro"/>
    <d v="2000-06-21T00:00:00"/>
    <s v="Brasil"/>
    <n v="1101"/>
    <x v="2"/>
    <n v="5971"/>
    <x v="2"/>
    <d v="2025-07-16T00:00:00"/>
    <m/>
    <x v="0"/>
    <x v="2"/>
    <x v="1"/>
    <x v="6"/>
    <x v="2"/>
    <x v="2"/>
    <s v=""/>
    <m/>
  </r>
  <r>
    <n v="201"/>
    <s v="Davi Martins"/>
    <d v="2002-10-02T00:00:00"/>
    <s v="Brasil"/>
    <n v="1024"/>
    <x v="9"/>
    <n v="9310"/>
    <x v="0"/>
    <d v="2025-07-19T00:00:00"/>
    <m/>
    <x v="37"/>
    <x v="2"/>
    <x v="1"/>
    <x v="6"/>
    <x v="2"/>
    <x v="2"/>
    <s v=""/>
    <m/>
  </r>
  <r>
    <n v="202"/>
    <s v="Nicole Moura"/>
    <d v="2001-06-15T00:00:00"/>
    <s v="Brasil"/>
    <n v="1061"/>
    <x v="8"/>
    <n v="5616"/>
    <x v="3"/>
    <d v="2025-07-20T00:00:00"/>
    <m/>
    <x v="38"/>
    <x v="2"/>
    <x v="1"/>
    <x v="6"/>
    <x v="2"/>
    <x v="2"/>
    <s v=""/>
    <m/>
  </r>
  <r>
    <n v="203"/>
    <s v="Beatriz Correia"/>
    <d v="1988-01-07T00:00:00"/>
    <s v="Brasil"/>
    <n v="1186"/>
    <x v="10"/>
    <n v="2804"/>
    <x v="6"/>
    <d v="2025-07-25T00:00:00"/>
    <m/>
    <x v="39"/>
    <x v="2"/>
    <x v="1"/>
    <x v="6"/>
    <x v="2"/>
    <x v="2"/>
    <s v=""/>
    <m/>
  </r>
  <r>
    <n v="204"/>
    <s v="Clara Rodrigues"/>
    <d v="1995-04-28T00:00:00"/>
    <s v="Brasil"/>
    <n v="1104"/>
    <x v="1"/>
    <n v="3218"/>
    <x v="1"/>
    <d v="2025-07-27T00:00:00"/>
    <m/>
    <x v="40"/>
    <x v="2"/>
    <x v="1"/>
    <x v="6"/>
    <x v="2"/>
    <x v="2"/>
    <s v=""/>
    <m/>
  </r>
  <r>
    <n v="205"/>
    <s v="Mateus Oliveira"/>
    <d v="1984-01-08T00:00:00"/>
    <s v="Brasil"/>
    <n v="1087"/>
    <x v="9"/>
    <n v="9566"/>
    <x v="0"/>
    <d v="2025-07-29T00:00:00"/>
    <m/>
    <x v="0"/>
    <x v="2"/>
    <x v="1"/>
    <x v="6"/>
    <x v="2"/>
    <x v="2"/>
    <s v=""/>
    <m/>
  </r>
  <r>
    <n v="206"/>
    <s v="Caio Gomes"/>
    <d v="1989-04-01T00:00:00"/>
    <s v="Brasil"/>
    <n v="1125"/>
    <x v="14"/>
    <n v="14321"/>
    <x v="8"/>
    <d v="2025-08-01T00:00:00"/>
    <d v="2026-02-21T00:00:00"/>
    <x v="2"/>
    <x v="1"/>
    <x v="0"/>
    <x v="7"/>
    <x v="9"/>
    <x v="2"/>
    <n v="2026"/>
    <m/>
  </r>
  <r>
    <n v="207"/>
    <s v="André Oliveira"/>
    <d v="1991-08-24T00:00:00"/>
    <s v="Brasil"/>
    <n v="1065"/>
    <x v="3"/>
    <n v="5457"/>
    <x v="3"/>
    <d v="2025-08-04T00:00:00"/>
    <d v="2026-06-29T00:00:00"/>
    <x v="3"/>
    <x v="3"/>
    <x v="0"/>
    <x v="7"/>
    <x v="8"/>
    <x v="2"/>
    <n v="2026"/>
    <m/>
  </r>
  <r>
    <n v="208"/>
    <s v="Camila Rodrigues"/>
    <d v="1970-01-12T00:00:00"/>
    <s v="Brasil"/>
    <n v="1115"/>
    <x v="3"/>
    <n v="5862"/>
    <x v="3"/>
    <d v="2025-08-06T00:00:00"/>
    <m/>
    <x v="0"/>
    <x v="2"/>
    <x v="1"/>
    <x v="7"/>
    <x v="2"/>
    <x v="2"/>
    <s v=""/>
    <m/>
  </r>
  <r>
    <n v="209"/>
    <s v="Bruno Rodrigues"/>
    <d v="1982-11-14T00:00:00"/>
    <s v="Brasil"/>
    <n v="1226"/>
    <x v="4"/>
    <n v="16685"/>
    <x v="4"/>
    <d v="2025-08-06T00:00:00"/>
    <m/>
    <x v="4"/>
    <x v="2"/>
    <x v="1"/>
    <x v="7"/>
    <x v="2"/>
    <x v="2"/>
    <s v=""/>
    <m/>
  </r>
  <r>
    <n v="210"/>
    <s v="Otávio Nascimento"/>
    <d v="1972-08-02T00:00:00"/>
    <s v="Brasil"/>
    <n v="1348"/>
    <x v="11"/>
    <n v="8765"/>
    <x v="7"/>
    <d v="2025-08-13T00:00:00"/>
    <m/>
    <x v="5"/>
    <x v="2"/>
    <x v="1"/>
    <x v="7"/>
    <x v="2"/>
    <x v="2"/>
    <s v=""/>
    <m/>
  </r>
  <r>
    <n v="211"/>
    <s v="Daniela Nascimento"/>
    <d v="1984-12-09T00:00:00"/>
    <s v="Brasil"/>
    <n v="1209"/>
    <x v="8"/>
    <n v="4110"/>
    <x v="3"/>
    <d v="2025-08-16T00:00:00"/>
    <m/>
    <x v="6"/>
    <x v="2"/>
    <x v="1"/>
    <x v="7"/>
    <x v="2"/>
    <x v="2"/>
    <s v=""/>
    <m/>
  </r>
  <r>
    <n v="212"/>
    <s v="Daniela Carvalho"/>
    <d v="1994-03-26T00:00:00"/>
    <s v="Brasil"/>
    <n v="1234"/>
    <x v="0"/>
    <n v="4013"/>
    <x v="0"/>
    <d v="2025-08-19T00:00:00"/>
    <m/>
    <x v="7"/>
    <x v="2"/>
    <x v="1"/>
    <x v="7"/>
    <x v="2"/>
    <x v="2"/>
    <s v=""/>
    <m/>
  </r>
  <r>
    <n v="213"/>
    <s v="Beatriz Pereira"/>
    <d v="1976-03-12T00:00:00"/>
    <s v="Brasil"/>
    <n v="1146"/>
    <x v="3"/>
    <n v="4531"/>
    <x v="3"/>
    <d v="2025-08-20T00:00:00"/>
    <m/>
    <x v="8"/>
    <x v="2"/>
    <x v="1"/>
    <x v="7"/>
    <x v="2"/>
    <x v="2"/>
    <s v=""/>
    <m/>
  </r>
  <r>
    <n v="214"/>
    <s v="Rodrigo Souza"/>
    <d v="1979-08-24T00:00:00"/>
    <s v="Brasil"/>
    <n v="1014"/>
    <x v="6"/>
    <n v="4494"/>
    <x v="1"/>
    <d v="2025-08-25T00:00:00"/>
    <m/>
    <x v="9"/>
    <x v="2"/>
    <x v="1"/>
    <x v="7"/>
    <x v="2"/>
    <x v="2"/>
    <s v=""/>
    <m/>
  </r>
  <r>
    <n v="215"/>
    <s v="Gustavo Almeida"/>
    <d v="1973-07-17T00:00:00"/>
    <s v="Brasil"/>
    <n v="1191"/>
    <x v="0"/>
    <n v="3317"/>
    <x v="0"/>
    <d v="2025-08-29T00:00:00"/>
    <m/>
    <x v="10"/>
    <x v="2"/>
    <x v="1"/>
    <x v="7"/>
    <x v="2"/>
    <x v="2"/>
    <s v=""/>
    <m/>
  </r>
  <r>
    <n v="216"/>
    <s v="Isabela Monteiro"/>
    <d v="2003-11-13T00:00:00"/>
    <s v="Brasil"/>
    <n v="1232"/>
    <x v="3"/>
    <n v="5285"/>
    <x v="3"/>
    <d v="2025-09-04T00:00:00"/>
    <m/>
    <x v="11"/>
    <x v="2"/>
    <x v="1"/>
    <x v="8"/>
    <x v="2"/>
    <x v="2"/>
    <s v=""/>
    <m/>
  </r>
  <r>
    <n v="217"/>
    <s v="Diego Souza"/>
    <d v="1994-04-01T00:00:00"/>
    <s v="Brasil"/>
    <n v="1076"/>
    <x v="11"/>
    <n v="4842"/>
    <x v="7"/>
    <d v="2025-09-09T00:00:00"/>
    <m/>
    <x v="0"/>
    <x v="2"/>
    <x v="1"/>
    <x v="8"/>
    <x v="2"/>
    <x v="2"/>
    <s v=""/>
    <m/>
  </r>
  <r>
    <n v="218"/>
    <s v="Vinícius Carvalho"/>
    <d v="1996-04-22T00:00:00"/>
    <s v="Brasil"/>
    <n v="1281"/>
    <x v="10"/>
    <n v="2641"/>
    <x v="6"/>
    <d v="2025-09-12T00:00:00"/>
    <m/>
    <x v="0"/>
    <x v="2"/>
    <x v="1"/>
    <x v="8"/>
    <x v="2"/>
    <x v="2"/>
    <s v=""/>
    <m/>
  </r>
  <r>
    <n v="219"/>
    <s v="Nicole Dias"/>
    <d v="1994-05-04T00:00:00"/>
    <s v="Brasil"/>
    <n v="1088"/>
    <x v="11"/>
    <n v="5736"/>
    <x v="7"/>
    <d v="2025-09-13T00:00:00"/>
    <m/>
    <x v="0"/>
    <x v="2"/>
    <x v="1"/>
    <x v="8"/>
    <x v="2"/>
    <x v="2"/>
    <s v=""/>
    <m/>
  </r>
  <r>
    <n v="220"/>
    <s v="Daniela Pinto"/>
    <d v="1974-09-26T00:00:00"/>
    <s v="Brasil"/>
    <n v="1170"/>
    <x v="9"/>
    <n v="12294"/>
    <x v="0"/>
    <d v="2025-09-22T00:00:00"/>
    <d v="2026-05-14T00:00:00"/>
    <x v="12"/>
    <x v="4"/>
    <x v="0"/>
    <x v="8"/>
    <x v="4"/>
    <x v="2"/>
    <n v="2026"/>
    <m/>
  </r>
  <r>
    <n v="221"/>
    <s v="Sofia Barbosa"/>
    <d v="1983-03-02T00:00:00"/>
    <s v="Brasil"/>
    <n v="1220"/>
    <x v="2"/>
    <n v="5053"/>
    <x v="2"/>
    <d v="2025-10-02T00:00:00"/>
    <m/>
    <x v="0"/>
    <x v="2"/>
    <x v="1"/>
    <x v="9"/>
    <x v="2"/>
    <x v="2"/>
    <s v=""/>
    <m/>
  </r>
  <r>
    <n v="222"/>
    <s v="Eduarda Monteiro"/>
    <d v="1972-08-20T00:00:00"/>
    <s v="Brasil"/>
    <n v="1185"/>
    <x v="5"/>
    <n v="3897"/>
    <x v="5"/>
    <d v="2025-10-02T00:00:00"/>
    <m/>
    <x v="13"/>
    <x v="2"/>
    <x v="1"/>
    <x v="9"/>
    <x v="2"/>
    <x v="2"/>
    <s v=""/>
    <m/>
  </r>
  <r>
    <n v="223"/>
    <s v="Elaine Nascimento"/>
    <d v="1992-04-22T00:00:00"/>
    <s v="Brasil"/>
    <n v="1329"/>
    <x v="13"/>
    <n v="3559"/>
    <x v="7"/>
    <d v="2025-10-03T00:00:00"/>
    <m/>
    <x v="0"/>
    <x v="2"/>
    <x v="1"/>
    <x v="9"/>
    <x v="2"/>
    <x v="2"/>
    <s v=""/>
    <m/>
  </r>
  <r>
    <n v="224"/>
    <s v="Tainá Moura"/>
    <d v="2001-01-12T00:00:00"/>
    <s v="Brasil"/>
    <n v="1018"/>
    <x v="7"/>
    <n v="3711"/>
    <x v="6"/>
    <d v="2025-10-04T00:00:00"/>
    <m/>
    <x v="14"/>
    <x v="2"/>
    <x v="1"/>
    <x v="9"/>
    <x v="2"/>
    <x v="2"/>
    <s v=""/>
    <m/>
  </r>
  <r>
    <n v="225"/>
    <s v="Gabriela Costa"/>
    <d v="2000-12-19T00:00:00"/>
    <s v="Brasil"/>
    <n v="1262"/>
    <x v="6"/>
    <n v="3615"/>
    <x v="1"/>
    <d v="2025-10-08T00:00:00"/>
    <m/>
    <x v="0"/>
    <x v="2"/>
    <x v="1"/>
    <x v="9"/>
    <x v="2"/>
    <x v="2"/>
    <s v=""/>
    <m/>
  </r>
  <r>
    <n v="226"/>
    <s v="Vitor Campos"/>
    <d v="2004-06-19T00:00:00"/>
    <s v="Brasil"/>
    <n v="1184"/>
    <x v="3"/>
    <n v="6497"/>
    <x v="3"/>
    <d v="2025-10-11T00:00:00"/>
    <m/>
    <x v="15"/>
    <x v="2"/>
    <x v="1"/>
    <x v="9"/>
    <x v="2"/>
    <x v="2"/>
    <s v=""/>
    <m/>
  </r>
  <r>
    <n v="227"/>
    <s v="Vitor Barbosa"/>
    <d v="1975-05-19T00:00:00"/>
    <s v="Brasil"/>
    <n v="1092"/>
    <x v="3"/>
    <n v="5635"/>
    <x v="3"/>
    <d v="2025-10-11T00:00:00"/>
    <d v="2026-08-10T00:00:00"/>
    <x v="0"/>
    <x v="5"/>
    <x v="0"/>
    <x v="9"/>
    <x v="3"/>
    <x v="2"/>
    <n v="2026"/>
    <m/>
  </r>
  <r>
    <n v="228"/>
    <s v="Kevin Correia"/>
    <d v="2002-07-10T00:00:00"/>
    <s v="Brasil"/>
    <n v="1221"/>
    <x v="5"/>
    <n v="3628"/>
    <x v="5"/>
    <d v="2025-10-15T00:00:00"/>
    <m/>
    <x v="16"/>
    <x v="2"/>
    <x v="1"/>
    <x v="9"/>
    <x v="2"/>
    <x v="2"/>
    <s v=""/>
    <m/>
  </r>
  <r>
    <n v="229"/>
    <s v="Luiz Monteiro"/>
    <d v="1995-09-21T00:00:00"/>
    <s v="Brasil"/>
    <n v="1177"/>
    <x v="4"/>
    <n v="13743"/>
    <x v="4"/>
    <d v="2025-10-17T00:00:00"/>
    <d v="2025-12-20T00:00:00"/>
    <x v="17"/>
    <x v="6"/>
    <x v="0"/>
    <x v="9"/>
    <x v="6"/>
    <x v="2"/>
    <n v="2025"/>
    <m/>
  </r>
  <r>
    <n v="230"/>
    <s v="Marcos Teixeira"/>
    <d v="1992-11-07T00:00:00"/>
    <s v="Brasil"/>
    <n v="1290"/>
    <x v="10"/>
    <n v="2478"/>
    <x v="6"/>
    <d v="2025-10-25T00:00:00"/>
    <m/>
    <x v="18"/>
    <x v="2"/>
    <x v="1"/>
    <x v="9"/>
    <x v="2"/>
    <x v="2"/>
    <s v=""/>
    <m/>
  </r>
  <r>
    <n v="231"/>
    <s v="Bruno Batista"/>
    <d v="1974-05-19T00:00:00"/>
    <s v="Brasil"/>
    <n v="1140"/>
    <x v="4"/>
    <n v="14225"/>
    <x v="4"/>
    <d v="2025-10-30T00:00:00"/>
    <d v="2026-09-12T00:00:00"/>
    <x v="0"/>
    <x v="7"/>
    <x v="0"/>
    <x v="9"/>
    <x v="11"/>
    <x v="2"/>
    <n v="2026"/>
    <m/>
  </r>
  <r>
    <n v="232"/>
    <s v="Thiago Silva"/>
    <d v="1987-02-09T00:00:00"/>
    <s v="Brasil"/>
    <n v="1021"/>
    <x v="9"/>
    <n v="8923"/>
    <x v="0"/>
    <d v="2025-10-30T00:00:00"/>
    <m/>
    <x v="19"/>
    <x v="2"/>
    <x v="1"/>
    <x v="9"/>
    <x v="2"/>
    <x v="2"/>
    <s v=""/>
    <m/>
  </r>
  <r>
    <n v="233"/>
    <s v="Igor Santos"/>
    <d v="2001-02-16T00:00:00"/>
    <s v="Brasil"/>
    <n v="1006"/>
    <x v="4"/>
    <n v="10052"/>
    <x v="4"/>
    <d v="2025-11-02T00:00:00"/>
    <m/>
    <x v="20"/>
    <x v="2"/>
    <x v="1"/>
    <x v="10"/>
    <x v="2"/>
    <x v="2"/>
    <s v=""/>
    <m/>
  </r>
  <r>
    <n v="234"/>
    <s v="Davi Gomes"/>
    <d v="1991-12-16T00:00:00"/>
    <s v="Brasil"/>
    <n v="1250"/>
    <x v="10"/>
    <n v="3022"/>
    <x v="6"/>
    <d v="2025-11-02T00:00:00"/>
    <m/>
    <x v="21"/>
    <x v="2"/>
    <x v="1"/>
    <x v="10"/>
    <x v="2"/>
    <x v="2"/>
    <s v=""/>
    <m/>
  </r>
  <r>
    <n v="235"/>
    <s v="Eduarda Martins"/>
    <d v="1993-08-05T00:00:00"/>
    <s v="Brasil"/>
    <n v="1229"/>
    <x v="5"/>
    <n v="6858"/>
    <x v="5"/>
    <d v="2025-11-03T00:00:00"/>
    <m/>
    <x v="0"/>
    <x v="2"/>
    <x v="1"/>
    <x v="10"/>
    <x v="2"/>
    <x v="2"/>
    <s v=""/>
    <m/>
  </r>
  <r>
    <n v="236"/>
    <s v="Eduarda Cavalcanti"/>
    <d v="1974-04-12T00:00:00"/>
    <s v="Brasil"/>
    <n v="1291"/>
    <x v="12"/>
    <n v="1435"/>
    <x v="5"/>
    <d v="2025-11-05T00:00:00"/>
    <d v="2026-10-25T00:00:00"/>
    <x v="22"/>
    <x v="8"/>
    <x v="0"/>
    <x v="10"/>
    <x v="7"/>
    <x v="2"/>
    <n v="2026"/>
    <m/>
  </r>
  <r>
    <n v="237"/>
    <s v="Elaine Ribeiro"/>
    <d v="1997-04-03T00:00:00"/>
    <s v="Brasil"/>
    <n v="1280"/>
    <x v="14"/>
    <n v="5770"/>
    <x v="8"/>
    <d v="2025-11-09T00:00:00"/>
    <d v="2026-06-26T00:00:00"/>
    <x v="0"/>
    <x v="9"/>
    <x v="0"/>
    <x v="10"/>
    <x v="8"/>
    <x v="2"/>
    <n v="2026"/>
    <m/>
  </r>
  <r>
    <n v="238"/>
    <s v="Carla Teixeira"/>
    <d v="2002-05-04T00:00:00"/>
    <s v="Brasil"/>
    <n v="1249"/>
    <x v="10"/>
    <n v="3085"/>
    <x v="6"/>
    <d v="2025-11-15T00:00:00"/>
    <m/>
    <x v="23"/>
    <x v="2"/>
    <x v="1"/>
    <x v="10"/>
    <x v="2"/>
    <x v="2"/>
    <s v=""/>
    <m/>
  </r>
  <r>
    <n v="239"/>
    <s v="Maria Lima"/>
    <d v="1999-08-29T00:00:00"/>
    <s v="Brasil"/>
    <n v="1243"/>
    <x v="11"/>
    <n v="8661"/>
    <x v="7"/>
    <d v="2025-11-16T00:00:00"/>
    <m/>
    <x v="24"/>
    <x v="2"/>
    <x v="1"/>
    <x v="10"/>
    <x v="2"/>
    <x v="2"/>
    <s v=""/>
    <m/>
  </r>
  <r>
    <n v="240"/>
    <s v="Sofia Batista"/>
    <d v="1970-07-20T00:00:00"/>
    <s v="Brasil"/>
    <n v="1207"/>
    <x v="7"/>
    <n v="4160"/>
    <x v="6"/>
    <d v="2025-11-16T00:00:00"/>
    <m/>
    <x v="25"/>
    <x v="2"/>
    <x v="1"/>
    <x v="10"/>
    <x v="2"/>
    <x v="2"/>
    <s v=""/>
    <m/>
  </r>
  <r>
    <n v="241"/>
    <s v="Clara Lima"/>
    <d v="2001-12-06T00:00:00"/>
    <s v="Brasil"/>
    <n v="1235"/>
    <x v="14"/>
    <n v="13535"/>
    <x v="8"/>
    <d v="2025-11-18T00:00:00"/>
    <m/>
    <x v="0"/>
    <x v="2"/>
    <x v="1"/>
    <x v="10"/>
    <x v="2"/>
    <x v="2"/>
    <s v=""/>
    <m/>
  </r>
  <r>
    <n v="242"/>
    <s v="Mateus Ferreira"/>
    <d v="1997-02-19T00:00:00"/>
    <s v="Brasil"/>
    <n v="1001"/>
    <x v="5"/>
    <n v="5041"/>
    <x v="5"/>
    <d v="2025-11-23T00:00:00"/>
    <m/>
    <x v="26"/>
    <x v="2"/>
    <x v="1"/>
    <x v="10"/>
    <x v="2"/>
    <x v="2"/>
    <s v=""/>
    <m/>
  </r>
  <r>
    <n v="243"/>
    <s v="Lucas Souza"/>
    <d v="1986-05-31T00:00:00"/>
    <s v="Brasil"/>
    <n v="1312"/>
    <x v="8"/>
    <n v="6901"/>
    <x v="3"/>
    <d v="2025-11-27T00:00:00"/>
    <d v="2026-10-04T00:00:00"/>
    <x v="27"/>
    <x v="10"/>
    <x v="0"/>
    <x v="10"/>
    <x v="7"/>
    <x v="2"/>
    <n v="2026"/>
    <m/>
  </r>
  <r>
    <n v="244"/>
    <s v="João Cavalcanti"/>
    <d v="2002-05-06T00:00:00"/>
    <s v="Brasil"/>
    <n v="1225"/>
    <x v="7"/>
    <n v="3479"/>
    <x v="6"/>
    <d v="2025-12-02T00:00:00"/>
    <m/>
    <x v="28"/>
    <x v="2"/>
    <x v="1"/>
    <x v="11"/>
    <x v="2"/>
    <x v="2"/>
    <s v=""/>
    <m/>
  </r>
  <r>
    <n v="245"/>
    <s v="Nicole Silva"/>
    <d v="1995-11-30T00:00:00"/>
    <s v="Brasil"/>
    <n v="1193"/>
    <x v="3"/>
    <n v="5240"/>
    <x v="3"/>
    <d v="2025-12-02T00:00:00"/>
    <m/>
    <x v="29"/>
    <x v="2"/>
    <x v="1"/>
    <x v="11"/>
    <x v="2"/>
    <x v="2"/>
    <s v=""/>
    <m/>
  </r>
  <r>
    <n v="246"/>
    <s v="Mirela Batista"/>
    <d v="2000-09-13T00:00:00"/>
    <s v="Brasil"/>
    <n v="1216"/>
    <x v="3"/>
    <n v="4977"/>
    <x v="3"/>
    <d v="2025-12-03T00:00:00"/>
    <m/>
    <x v="0"/>
    <x v="2"/>
    <x v="1"/>
    <x v="11"/>
    <x v="2"/>
    <x v="2"/>
    <s v=""/>
    <m/>
  </r>
  <r>
    <n v="247"/>
    <s v="Marcos Teixeira"/>
    <d v="1982-02-02T00:00:00"/>
    <s v="Brasil"/>
    <n v="1289"/>
    <x v="5"/>
    <n v="7354"/>
    <x v="5"/>
    <d v="2025-12-04T00:00:00"/>
    <m/>
    <x v="30"/>
    <x v="2"/>
    <x v="1"/>
    <x v="11"/>
    <x v="2"/>
    <x v="2"/>
    <s v=""/>
    <m/>
  </r>
  <r>
    <n v="248"/>
    <s v="Camila Rocha"/>
    <d v="1995-11-26T00:00:00"/>
    <s v="Brasil"/>
    <n v="1102"/>
    <x v="10"/>
    <n v="2568"/>
    <x v="6"/>
    <d v="2025-12-06T00:00:00"/>
    <m/>
    <x v="0"/>
    <x v="2"/>
    <x v="1"/>
    <x v="11"/>
    <x v="2"/>
    <x v="2"/>
    <s v=""/>
    <m/>
  </r>
  <r>
    <n v="249"/>
    <s v="Rodrigo Pereira"/>
    <d v="1979-11-23T00:00:00"/>
    <s v="Brasil"/>
    <n v="1297"/>
    <x v="3"/>
    <n v="4985"/>
    <x v="3"/>
    <d v="2025-12-13T00:00:00"/>
    <m/>
    <x v="31"/>
    <x v="2"/>
    <x v="1"/>
    <x v="11"/>
    <x v="2"/>
    <x v="2"/>
    <s v=""/>
    <m/>
  </r>
  <r>
    <n v="250"/>
    <s v="João Costa"/>
    <d v="1974-07-05T00:00:00"/>
    <s v="Brasil"/>
    <n v="1095"/>
    <x v="2"/>
    <n v="5474"/>
    <x v="2"/>
    <d v="2025-12-14T00:00:00"/>
    <d v="2026-11-23T00:00:00"/>
    <x v="32"/>
    <x v="11"/>
    <x v="0"/>
    <x v="11"/>
    <x v="10"/>
    <x v="2"/>
    <n v="2026"/>
    <m/>
  </r>
  <r>
    <n v="251"/>
    <s v="Yasmin Costa"/>
    <d v="1984-07-16T00:00:00"/>
    <s v="Brasil"/>
    <n v="1253"/>
    <x v="5"/>
    <n v="6473"/>
    <x v="5"/>
    <d v="2025-12-16T00:00:00"/>
    <m/>
    <x v="0"/>
    <x v="2"/>
    <x v="1"/>
    <x v="11"/>
    <x v="2"/>
    <x v="2"/>
    <s v=""/>
    <m/>
  </r>
  <r>
    <n v="252"/>
    <s v="Jéssica Dias"/>
    <d v="1990-08-15T00:00:00"/>
    <s v="Brasil"/>
    <n v="1131"/>
    <x v="9"/>
    <n v="9402"/>
    <x v="0"/>
    <d v="2025-12-16T00:00:00"/>
    <m/>
    <x v="0"/>
    <x v="2"/>
    <x v="1"/>
    <x v="11"/>
    <x v="2"/>
    <x v="2"/>
    <s v=""/>
    <m/>
  </r>
  <r>
    <n v="253"/>
    <s v="Gabriela Silva"/>
    <d v="1983-10-30T00:00:00"/>
    <s v="Brasil"/>
    <n v="1141"/>
    <x v="9"/>
    <n v="7337"/>
    <x v="0"/>
    <d v="2025-12-23T00:00:00"/>
    <d v="2026-10-18T00:00:00"/>
    <x v="33"/>
    <x v="12"/>
    <x v="0"/>
    <x v="11"/>
    <x v="7"/>
    <x v="2"/>
    <n v="2026"/>
    <m/>
  </r>
  <r>
    <n v="254"/>
    <s v="Jéssica Nascimento"/>
    <d v="1977-09-04T00:00:00"/>
    <s v="Brasil"/>
    <n v="1059"/>
    <x v="4"/>
    <n v="11677"/>
    <x v="4"/>
    <d v="2025-12-24T00:00:00"/>
    <m/>
    <x v="34"/>
    <x v="2"/>
    <x v="1"/>
    <x v="11"/>
    <x v="2"/>
    <x v="2"/>
    <s v=""/>
    <m/>
  </r>
  <r>
    <n v="255"/>
    <s v="Diego Batista"/>
    <d v="1994-05-12T00:00:00"/>
    <s v="Brasil"/>
    <n v="1159"/>
    <x v="7"/>
    <n v="2982"/>
    <x v="6"/>
    <d v="2025-12-24T00:00:00"/>
    <m/>
    <x v="0"/>
    <x v="2"/>
    <x v="1"/>
    <x v="11"/>
    <x v="2"/>
    <x v="2"/>
    <s v=""/>
    <m/>
  </r>
  <r>
    <n v="256"/>
    <s v="Talita Cardoso"/>
    <d v="1997-02-27T00:00:00"/>
    <s v="Brasil"/>
    <n v="1111"/>
    <x v="13"/>
    <n v="3746"/>
    <x v="7"/>
    <d v="2025-12-25T00:00:00"/>
    <m/>
    <x v="0"/>
    <x v="2"/>
    <x v="1"/>
    <x v="11"/>
    <x v="2"/>
    <x v="2"/>
    <s v=""/>
    <m/>
  </r>
  <r>
    <n v="257"/>
    <s v="Luiz Mendes"/>
    <d v="1994-02-21T00:00:00"/>
    <s v="Brasil"/>
    <n v="1246"/>
    <x v="6"/>
    <n v="5226"/>
    <x v="1"/>
    <d v="2025-12-25T00:00:00"/>
    <m/>
    <x v="0"/>
    <x v="2"/>
    <x v="1"/>
    <x v="11"/>
    <x v="2"/>
    <x v="2"/>
    <s v=""/>
    <m/>
  </r>
  <r>
    <n v="258"/>
    <s v="Ana Moura"/>
    <d v="2000-01-18T00:00:00"/>
    <s v="Brasil"/>
    <n v="1118"/>
    <x v="3"/>
    <n v="3415"/>
    <x v="3"/>
    <d v="2026-01-02T00:00:00"/>
    <d v="2026-02-27T00:00:00"/>
    <x v="35"/>
    <x v="13"/>
    <x v="0"/>
    <x v="0"/>
    <x v="9"/>
    <x v="3"/>
    <n v="2026"/>
    <m/>
  </r>
  <r>
    <n v="259"/>
    <s v="Thiago Ferreira"/>
    <d v="2002-04-04T00:00:00"/>
    <s v="Brasil"/>
    <n v="1265"/>
    <x v="8"/>
    <n v="6872"/>
    <x v="3"/>
    <d v="2026-01-05T00:00:00"/>
    <m/>
    <x v="36"/>
    <x v="2"/>
    <x v="1"/>
    <x v="0"/>
    <x v="2"/>
    <x v="3"/>
    <s v=""/>
    <m/>
  </r>
  <r>
    <n v="260"/>
    <s v="Diego Oliveira"/>
    <d v="1998-06-14T00:00:00"/>
    <s v="Brasil"/>
    <n v="1258"/>
    <x v="7"/>
    <n v="4201"/>
    <x v="6"/>
    <d v="2026-01-06T00:00:00"/>
    <m/>
    <x v="0"/>
    <x v="2"/>
    <x v="1"/>
    <x v="0"/>
    <x v="2"/>
    <x v="3"/>
    <s v=""/>
    <m/>
  </r>
  <r>
    <n v="261"/>
    <s v="Otávio Ferreira"/>
    <d v="1982-11-26T00:00:00"/>
    <s v="Brasil"/>
    <n v="1194"/>
    <x v="13"/>
    <n v="2905"/>
    <x v="7"/>
    <d v="2026-01-07T00:00:00"/>
    <m/>
    <x v="0"/>
    <x v="2"/>
    <x v="1"/>
    <x v="0"/>
    <x v="2"/>
    <x v="3"/>
    <s v=""/>
    <m/>
  </r>
  <r>
    <n v="262"/>
    <s v="Renata Barbosa"/>
    <d v="1985-05-28T00:00:00"/>
    <s v="Brasil"/>
    <n v="1174"/>
    <x v="13"/>
    <n v="3323"/>
    <x v="7"/>
    <d v="2026-01-08T00:00:00"/>
    <d v="2026-01-24T00:00:00"/>
    <x v="37"/>
    <x v="14"/>
    <x v="0"/>
    <x v="0"/>
    <x v="2"/>
    <x v="3"/>
    <n v="2026"/>
    <m/>
  </r>
  <r>
    <n v="263"/>
    <s v="Ana Ferreira"/>
    <d v="1987-10-12T00:00:00"/>
    <s v="Brasil"/>
    <n v="1214"/>
    <x v="7"/>
    <n v="3958"/>
    <x v="6"/>
    <d v="2026-01-12T00:00:00"/>
    <m/>
    <x v="0"/>
    <x v="2"/>
    <x v="1"/>
    <x v="0"/>
    <x v="2"/>
    <x v="3"/>
    <s v=""/>
    <m/>
  </r>
  <r>
    <n v="264"/>
    <s v="Samuel Ferreira"/>
    <d v="2000-02-23T00:00:00"/>
    <s v="Brasil"/>
    <n v="1298"/>
    <x v="1"/>
    <n v="3602"/>
    <x v="1"/>
    <d v="2026-01-12T00:00:00"/>
    <m/>
    <x v="38"/>
    <x v="2"/>
    <x v="1"/>
    <x v="0"/>
    <x v="2"/>
    <x v="3"/>
    <s v=""/>
    <m/>
  </r>
  <r>
    <n v="265"/>
    <s v="Flávia Cardoso"/>
    <d v="1999-05-14T00:00:00"/>
    <s v="Brasil"/>
    <n v="1136"/>
    <x v="9"/>
    <n v="12753"/>
    <x v="0"/>
    <d v="2026-01-17T00:00:00"/>
    <m/>
    <x v="0"/>
    <x v="2"/>
    <x v="1"/>
    <x v="0"/>
    <x v="2"/>
    <x v="3"/>
    <s v=""/>
    <m/>
  </r>
  <r>
    <n v="266"/>
    <s v="Flávia Lima"/>
    <d v="2003-05-29T00:00:00"/>
    <s v="Brasil"/>
    <n v="1134"/>
    <x v="4"/>
    <n v="15325"/>
    <x v="4"/>
    <d v="2026-01-21T00:00:00"/>
    <m/>
    <x v="0"/>
    <x v="2"/>
    <x v="1"/>
    <x v="0"/>
    <x v="2"/>
    <x v="3"/>
    <s v=""/>
    <m/>
  </r>
  <r>
    <n v="267"/>
    <s v="Mirela Oliveira"/>
    <d v="2000-06-28T00:00:00"/>
    <s v="Brasil"/>
    <n v="1179"/>
    <x v="10"/>
    <n v="1975"/>
    <x v="6"/>
    <d v="2026-01-21T00:00:00"/>
    <m/>
    <x v="39"/>
    <x v="2"/>
    <x v="1"/>
    <x v="0"/>
    <x v="2"/>
    <x v="3"/>
    <s v=""/>
    <m/>
  </r>
  <r>
    <n v="268"/>
    <s v="Clara Batista"/>
    <d v="1986-07-25T00:00:00"/>
    <s v="Brasil"/>
    <n v="1332"/>
    <x v="8"/>
    <n v="5260"/>
    <x v="3"/>
    <d v="2026-01-24T00:00:00"/>
    <d v="2026-12-11T00:00:00"/>
    <x v="0"/>
    <x v="15"/>
    <x v="0"/>
    <x v="0"/>
    <x v="6"/>
    <x v="3"/>
    <n v="2026"/>
    <m/>
  </r>
  <r>
    <n v="269"/>
    <s v="Luana Lima"/>
    <d v="1979-03-20T00:00:00"/>
    <s v="Brasil"/>
    <n v="1321"/>
    <x v="0"/>
    <n v="2386"/>
    <x v="0"/>
    <d v="2026-01-29T00:00:00"/>
    <m/>
    <x v="40"/>
    <x v="2"/>
    <x v="1"/>
    <x v="0"/>
    <x v="2"/>
    <x v="3"/>
    <s v=""/>
    <m/>
  </r>
  <r>
    <n v="270"/>
    <s v="Luiz Souza"/>
    <d v="2004-12-31T00:00:00"/>
    <s v="Brasil"/>
    <n v="1176"/>
    <x v="10"/>
    <n v="2172"/>
    <x v="6"/>
    <d v="2026-01-30T00:00:00"/>
    <m/>
    <x v="1"/>
    <x v="2"/>
    <x v="1"/>
    <x v="0"/>
    <x v="2"/>
    <x v="3"/>
    <s v=""/>
    <m/>
  </r>
  <r>
    <n v="271"/>
    <s v="Igor Teixeira"/>
    <d v="2001-10-16T00:00:00"/>
    <s v="Brasil"/>
    <n v="1347"/>
    <x v="7"/>
    <n v="2268"/>
    <x v="6"/>
    <d v="2026-02-06T00:00:00"/>
    <m/>
    <x v="0"/>
    <x v="2"/>
    <x v="1"/>
    <x v="1"/>
    <x v="2"/>
    <x v="3"/>
    <s v=""/>
    <m/>
  </r>
  <r>
    <n v="272"/>
    <s v="Paula Freitas"/>
    <d v="1971-04-18T00:00:00"/>
    <s v="Brasil"/>
    <n v="1142"/>
    <x v="0"/>
    <n v="3653"/>
    <x v="0"/>
    <d v="2026-02-18T00:00:00"/>
    <d v="2026-03-12T00:00:00"/>
    <x v="2"/>
    <x v="16"/>
    <x v="0"/>
    <x v="1"/>
    <x v="1"/>
    <x v="3"/>
    <n v="2026"/>
    <m/>
  </r>
  <r>
    <n v="273"/>
    <s v="Vanessa Rodrigues"/>
    <d v="1972-05-07T00:00:00"/>
    <s v="Brasil"/>
    <n v="1288"/>
    <x v="10"/>
    <n v="1934"/>
    <x v="6"/>
    <d v="2026-02-25T00:00:00"/>
    <m/>
    <x v="3"/>
    <x v="2"/>
    <x v="1"/>
    <x v="1"/>
    <x v="2"/>
    <x v="3"/>
    <s v=""/>
    <m/>
  </r>
  <r>
    <n v="274"/>
    <s v="Tainá Pereira"/>
    <d v="1989-11-01T00:00:00"/>
    <s v="Brasil"/>
    <n v="1293"/>
    <x v="3"/>
    <n v="5138"/>
    <x v="3"/>
    <d v="2026-02-25T00:00:00"/>
    <m/>
    <x v="0"/>
    <x v="2"/>
    <x v="1"/>
    <x v="1"/>
    <x v="2"/>
    <x v="3"/>
    <s v=""/>
    <m/>
  </r>
  <r>
    <n v="275"/>
    <s v="Pedro Correia"/>
    <d v="2004-03-06T00:00:00"/>
    <s v="Brasil"/>
    <n v="1228"/>
    <x v="8"/>
    <n v="7065"/>
    <x v="3"/>
    <d v="2026-03-06T00:00:00"/>
    <m/>
    <x v="0"/>
    <x v="2"/>
    <x v="1"/>
    <x v="2"/>
    <x v="2"/>
    <x v="3"/>
    <s v=""/>
    <m/>
  </r>
  <r>
    <n v="276"/>
    <s v="Kevin Costa"/>
    <d v="2004-02-14T00:00:00"/>
    <s v="Brasil"/>
    <n v="1201"/>
    <x v="8"/>
    <n v="3934"/>
    <x v="3"/>
    <d v="2026-03-13T00:00:00"/>
    <m/>
    <x v="4"/>
    <x v="2"/>
    <x v="1"/>
    <x v="2"/>
    <x v="2"/>
    <x v="3"/>
    <s v=""/>
    <m/>
  </r>
  <r>
    <n v="277"/>
    <s v="Emanuel Carvalho"/>
    <d v="1982-11-26T00:00:00"/>
    <s v="Brasil"/>
    <n v="1147"/>
    <x v="8"/>
    <n v="3802"/>
    <x v="3"/>
    <d v="2026-03-13T00:00:00"/>
    <m/>
    <x v="5"/>
    <x v="2"/>
    <x v="1"/>
    <x v="2"/>
    <x v="2"/>
    <x v="3"/>
    <s v=""/>
    <m/>
  </r>
  <r>
    <n v="278"/>
    <s v="Eduarda Mendes"/>
    <d v="2000-07-08T00:00:00"/>
    <s v="Brasil"/>
    <n v="1183"/>
    <x v="1"/>
    <n v="4752"/>
    <x v="1"/>
    <d v="2026-03-13T00:00:00"/>
    <m/>
    <x v="0"/>
    <x v="2"/>
    <x v="1"/>
    <x v="2"/>
    <x v="2"/>
    <x v="3"/>
    <s v=""/>
    <m/>
  </r>
  <r>
    <n v="279"/>
    <s v="Vanessa Souza"/>
    <d v="2004-08-04T00:00:00"/>
    <s v="Brasil"/>
    <n v="1028"/>
    <x v="4"/>
    <n v="17011"/>
    <x v="4"/>
    <d v="2026-03-17T00:00:00"/>
    <m/>
    <x v="6"/>
    <x v="2"/>
    <x v="1"/>
    <x v="2"/>
    <x v="2"/>
    <x v="3"/>
    <s v=""/>
    <m/>
  </r>
  <r>
    <n v="280"/>
    <s v="Caio Almeida"/>
    <d v="2003-08-07T00:00:00"/>
    <s v="Brasil"/>
    <n v="1328"/>
    <x v="12"/>
    <n v="1209"/>
    <x v="5"/>
    <d v="2026-03-22T00:00:00"/>
    <m/>
    <x v="0"/>
    <x v="2"/>
    <x v="1"/>
    <x v="2"/>
    <x v="2"/>
    <x v="3"/>
    <s v=""/>
    <m/>
  </r>
  <r>
    <n v="281"/>
    <s v="Gustavo Souza"/>
    <d v="1989-07-21T00:00:00"/>
    <s v="Brasil"/>
    <n v="1274"/>
    <x v="1"/>
    <n v="2973"/>
    <x v="1"/>
    <d v="2026-03-28T00:00:00"/>
    <m/>
    <x v="7"/>
    <x v="2"/>
    <x v="1"/>
    <x v="2"/>
    <x v="2"/>
    <x v="3"/>
    <s v=""/>
    <m/>
  </r>
  <r>
    <n v="282"/>
    <s v="Daniela Santos"/>
    <d v="1991-10-31T00:00:00"/>
    <s v="Brasil"/>
    <n v="1039"/>
    <x v="8"/>
    <n v="5772"/>
    <x v="3"/>
    <d v="2026-04-03T00:00:00"/>
    <d v="2026-05-27T00:00:00"/>
    <x v="8"/>
    <x v="17"/>
    <x v="0"/>
    <x v="3"/>
    <x v="4"/>
    <x v="3"/>
    <n v="2026"/>
    <m/>
  </r>
  <r>
    <n v="283"/>
    <s v="Caio Souza"/>
    <d v="1970-07-08T00:00:00"/>
    <s v="Brasil"/>
    <n v="1017"/>
    <x v="4"/>
    <n v="17797"/>
    <x v="4"/>
    <d v="2026-04-04T00:00:00"/>
    <m/>
    <x v="0"/>
    <x v="2"/>
    <x v="1"/>
    <x v="3"/>
    <x v="2"/>
    <x v="3"/>
    <s v=""/>
    <m/>
  </r>
  <r>
    <n v="284"/>
    <s v="Sofia Souza"/>
    <d v="1999-05-03T00:00:00"/>
    <s v="Brasil"/>
    <n v="1003"/>
    <x v="5"/>
    <n v="5952"/>
    <x v="5"/>
    <d v="2026-04-08T00:00:00"/>
    <m/>
    <x v="9"/>
    <x v="2"/>
    <x v="1"/>
    <x v="3"/>
    <x v="2"/>
    <x v="3"/>
    <s v=""/>
    <m/>
  </r>
  <r>
    <n v="285"/>
    <s v="Mateus Lima"/>
    <d v="2004-07-14T00:00:00"/>
    <s v="Brasil"/>
    <n v="1233"/>
    <x v="4"/>
    <n v="13833"/>
    <x v="4"/>
    <d v="2026-04-10T00:00:00"/>
    <m/>
    <x v="10"/>
    <x v="2"/>
    <x v="1"/>
    <x v="3"/>
    <x v="2"/>
    <x v="3"/>
    <s v=""/>
    <m/>
  </r>
  <r>
    <n v="286"/>
    <s v="Mateus Araújo"/>
    <d v="2000-09-22T00:00:00"/>
    <s v="Brasil"/>
    <n v="1286"/>
    <x v="7"/>
    <n v="2498"/>
    <x v="6"/>
    <d v="2026-04-12T00:00:00"/>
    <m/>
    <x v="11"/>
    <x v="2"/>
    <x v="1"/>
    <x v="3"/>
    <x v="2"/>
    <x v="3"/>
    <s v=""/>
    <m/>
  </r>
  <r>
    <n v="287"/>
    <s v="Talita Costa"/>
    <d v="2004-12-01T00:00:00"/>
    <s v="Brasil"/>
    <n v="1084"/>
    <x v="3"/>
    <n v="6493"/>
    <x v="3"/>
    <d v="2026-04-19T00:00:00"/>
    <m/>
    <x v="12"/>
    <x v="2"/>
    <x v="1"/>
    <x v="3"/>
    <x v="2"/>
    <x v="3"/>
    <s v=""/>
    <m/>
  </r>
  <r>
    <n v="288"/>
    <s v="Leandro Costa"/>
    <d v="2003-10-24T00:00:00"/>
    <s v="Brasil"/>
    <n v="1042"/>
    <x v="9"/>
    <n v="11271"/>
    <x v="0"/>
    <d v="2026-04-23T00:00:00"/>
    <m/>
    <x v="13"/>
    <x v="2"/>
    <x v="1"/>
    <x v="3"/>
    <x v="2"/>
    <x v="3"/>
    <s v=""/>
    <m/>
  </r>
  <r>
    <n v="289"/>
    <s v="Samuel Ribeiro"/>
    <d v="1973-08-07T00:00:00"/>
    <s v="Brasil"/>
    <n v="1335"/>
    <x v="10"/>
    <n v="2072"/>
    <x v="6"/>
    <d v="2026-04-24T00:00:00"/>
    <m/>
    <x v="14"/>
    <x v="2"/>
    <x v="1"/>
    <x v="3"/>
    <x v="2"/>
    <x v="3"/>
    <s v=""/>
    <m/>
  </r>
  <r>
    <n v="290"/>
    <s v="Daniela Costa"/>
    <d v="1987-02-03T00:00:00"/>
    <s v="Brasil"/>
    <n v="1034"/>
    <x v="9"/>
    <n v="12028"/>
    <x v="0"/>
    <d v="2026-04-27T00:00:00"/>
    <m/>
    <x v="15"/>
    <x v="2"/>
    <x v="1"/>
    <x v="3"/>
    <x v="2"/>
    <x v="3"/>
    <s v=""/>
    <m/>
  </r>
  <r>
    <n v="291"/>
    <s v="Vinícius Barbosa"/>
    <d v="2003-04-29T00:00:00"/>
    <s v="Brasil"/>
    <n v="1121"/>
    <x v="14"/>
    <n v="8338"/>
    <x v="8"/>
    <d v="2026-04-29T00:00:00"/>
    <d v="2026-07-13T00:00:00"/>
    <x v="0"/>
    <x v="18"/>
    <x v="0"/>
    <x v="3"/>
    <x v="0"/>
    <x v="3"/>
    <n v="2026"/>
    <m/>
  </r>
  <r>
    <n v="292"/>
    <s v="Fábio Ribeiro"/>
    <d v="2002-09-18T00:00:00"/>
    <s v="Brasil"/>
    <n v="1077"/>
    <x v="11"/>
    <n v="7333"/>
    <x v="7"/>
    <d v="2026-05-02T00:00:00"/>
    <m/>
    <x v="0"/>
    <x v="2"/>
    <x v="1"/>
    <x v="4"/>
    <x v="2"/>
    <x v="3"/>
    <s v=""/>
    <m/>
  </r>
  <r>
    <n v="293"/>
    <s v="Davi Moura"/>
    <d v="2004-08-26T00:00:00"/>
    <s v="Brasil"/>
    <n v="1272"/>
    <x v="1"/>
    <n v="3095"/>
    <x v="1"/>
    <d v="2026-05-04T00:00:00"/>
    <m/>
    <x v="16"/>
    <x v="2"/>
    <x v="1"/>
    <x v="4"/>
    <x v="2"/>
    <x v="3"/>
    <s v=""/>
    <m/>
  </r>
  <r>
    <n v="294"/>
    <s v="Emanuel Silva"/>
    <d v="1983-06-16T00:00:00"/>
    <s v="Brasil"/>
    <n v="1019"/>
    <x v="1"/>
    <n v="2729"/>
    <x v="1"/>
    <d v="2026-05-05T00:00:00"/>
    <d v="2026-06-25T00:00:00"/>
    <x v="17"/>
    <x v="19"/>
    <x v="0"/>
    <x v="4"/>
    <x v="8"/>
    <x v="3"/>
    <n v="2026"/>
    <m/>
  </r>
  <r>
    <n v="295"/>
    <s v="Paula Ribeiro"/>
    <d v="2004-01-04T00:00:00"/>
    <s v="Brasil"/>
    <n v="1252"/>
    <x v="4"/>
    <n v="17041"/>
    <x v="4"/>
    <d v="2026-05-11T00:00:00"/>
    <m/>
    <x v="18"/>
    <x v="2"/>
    <x v="1"/>
    <x v="4"/>
    <x v="2"/>
    <x v="3"/>
    <s v=""/>
    <m/>
  </r>
  <r>
    <n v="296"/>
    <s v="Pedro Campos"/>
    <d v="2004-10-15T00:00:00"/>
    <s v="Brasil"/>
    <n v="1211"/>
    <x v="11"/>
    <n v="8571"/>
    <x v="7"/>
    <d v="2026-05-16T00:00:00"/>
    <m/>
    <x v="19"/>
    <x v="2"/>
    <x v="1"/>
    <x v="4"/>
    <x v="2"/>
    <x v="3"/>
    <s v=""/>
    <m/>
  </r>
  <r>
    <n v="297"/>
    <s v="Larissa Araújo"/>
    <d v="1998-10-12T00:00:00"/>
    <s v="Brasil"/>
    <n v="1066"/>
    <x v="2"/>
    <n v="13691"/>
    <x v="2"/>
    <d v="2026-05-16T00:00:00"/>
    <m/>
    <x v="0"/>
    <x v="2"/>
    <x v="1"/>
    <x v="4"/>
    <x v="2"/>
    <x v="3"/>
    <s v=""/>
    <m/>
  </r>
  <r>
    <n v="298"/>
    <s v="Eduarda Pereira"/>
    <d v="1977-08-10T00:00:00"/>
    <s v="Brasil"/>
    <n v="1305"/>
    <x v="11"/>
    <n v="5337"/>
    <x v="7"/>
    <d v="2026-05-16T00:00:00"/>
    <m/>
    <x v="20"/>
    <x v="2"/>
    <x v="1"/>
    <x v="4"/>
    <x v="2"/>
    <x v="3"/>
    <s v=""/>
    <m/>
  </r>
  <r>
    <n v="299"/>
    <s v="Talita Batista"/>
    <d v="1988-12-08T00:00:00"/>
    <s v="Brasil"/>
    <n v="1069"/>
    <x v="13"/>
    <n v="2781"/>
    <x v="7"/>
    <d v="2026-05-18T00:00:00"/>
    <m/>
    <x v="21"/>
    <x v="2"/>
    <x v="1"/>
    <x v="4"/>
    <x v="2"/>
    <x v="3"/>
    <s v=""/>
    <m/>
  </r>
  <r>
    <n v="300"/>
    <s v="Thiago Ferreira"/>
    <d v="1974-06-16T00:00:00"/>
    <s v="Brasil"/>
    <n v="1247"/>
    <x v="9"/>
    <n v="13886"/>
    <x v="0"/>
    <d v="2026-05-19T00:00:00"/>
    <m/>
    <x v="22"/>
    <x v="2"/>
    <x v="1"/>
    <x v="4"/>
    <x v="2"/>
    <x v="3"/>
    <s v=""/>
    <m/>
  </r>
  <r>
    <n v="301"/>
    <s v="Thiago Ferreira"/>
    <d v="1990-05-20T00:00:00"/>
    <s v="Brasil"/>
    <n v="1133"/>
    <x v="8"/>
    <n v="5523"/>
    <x v="3"/>
    <d v="2026-05-20T00:00:00"/>
    <m/>
    <x v="23"/>
    <x v="2"/>
    <x v="1"/>
    <x v="4"/>
    <x v="2"/>
    <x v="3"/>
    <s v=""/>
    <m/>
  </r>
  <r>
    <n v="302"/>
    <s v="Pedro Ribeiro"/>
    <d v="2004-10-26T00:00:00"/>
    <s v="Brasil"/>
    <n v="1010"/>
    <x v="5"/>
    <n v="5151"/>
    <x v="5"/>
    <d v="2026-05-20T00:00:00"/>
    <d v="2026-06-23T00:00:00"/>
    <x v="24"/>
    <x v="20"/>
    <x v="0"/>
    <x v="4"/>
    <x v="8"/>
    <x v="3"/>
    <n v="2026"/>
    <m/>
  </r>
  <r>
    <n v="303"/>
    <s v="Eduarda Monteiro"/>
    <d v="1985-03-09T00:00:00"/>
    <s v="Brasil"/>
    <n v="1287"/>
    <x v="2"/>
    <n v="12840"/>
    <x v="2"/>
    <d v="2026-06-01T00:00:00"/>
    <m/>
    <x v="0"/>
    <x v="2"/>
    <x v="1"/>
    <x v="5"/>
    <x v="2"/>
    <x v="3"/>
    <s v=""/>
    <m/>
  </r>
  <r>
    <n v="304"/>
    <s v="Samuel Freitas"/>
    <d v="2004-08-27T00:00:00"/>
    <s v="Brasil"/>
    <n v="1139"/>
    <x v="8"/>
    <n v="3963"/>
    <x v="3"/>
    <d v="2026-06-06T00:00:00"/>
    <m/>
    <x v="25"/>
    <x v="2"/>
    <x v="1"/>
    <x v="5"/>
    <x v="2"/>
    <x v="3"/>
    <s v=""/>
    <m/>
  </r>
  <r>
    <n v="305"/>
    <s v="Clara Rocha"/>
    <d v="1983-10-20T00:00:00"/>
    <s v="Brasil"/>
    <n v="1071"/>
    <x v="10"/>
    <n v="3022"/>
    <x v="6"/>
    <d v="2026-06-07T00:00:00"/>
    <m/>
    <x v="0"/>
    <x v="2"/>
    <x v="1"/>
    <x v="5"/>
    <x v="2"/>
    <x v="3"/>
    <s v=""/>
    <m/>
  </r>
  <r>
    <n v="306"/>
    <s v="Jéssica Rocha"/>
    <d v="2005-11-01T00:00:00"/>
    <s v="Brasil"/>
    <n v="1122"/>
    <x v="0"/>
    <n v="2648"/>
    <x v="0"/>
    <d v="2026-06-23T00:00:00"/>
    <m/>
    <x v="0"/>
    <x v="2"/>
    <x v="1"/>
    <x v="5"/>
    <x v="2"/>
    <x v="3"/>
    <s v=""/>
    <m/>
  </r>
  <r>
    <n v="307"/>
    <s v="Vinícius Rocha"/>
    <d v="1985-10-01T00:00:00"/>
    <s v="Brasil"/>
    <n v="1097"/>
    <x v="1"/>
    <n v="3567"/>
    <x v="1"/>
    <d v="2026-06-23T00:00:00"/>
    <d v="2026-07-17T00:00:00"/>
    <x v="26"/>
    <x v="21"/>
    <x v="0"/>
    <x v="5"/>
    <x v="0"/>
    <x v="3"/>
    <n v="2026"/>
    <m/>
  </r>
  <r>
    <n v="308"/>
    <s v="Larissa Dias"/>
    <d v="2005-06-21T00:00:00"/>
    <s v="Brasil"/>
    <n v="1251"/>
    <x v="4"/>
    <n v="10392"/>
    <x v="4"/>
    <d v="2026-06-23T00:00:00"/>
    <d v="2026-08-22T00:00:00"/>
    <x v="0"/>
    <x v="22"/>
    <x v="0"/>
    <x v="5"/>
    <x v="3"/>
    <x v="3"/>
    <n v="2026"/>
    <m/>
  </r>
  <r>
    <n v="309"/>
    <s v="Carla Mendes"/>
    <d v="1982-10-21T00:00:00"/>
    <s v="Brasil"/>
    <n v="1012"/>
    <x v="5"/>
    <n v="5402"/>
    <x v="5"/>
    <d v="2026-06-27T00:00:00"/>
    <m/>
    <x v="0"/>
    <x v="2"/>
    <x v="1"/>
    <x v="5"/>
    <x v="2"/>
    <x v="3"/>
    <s v=""/>
    <m/>
  </r>
  <r>
    <n v="310"/>
    <s v="Talita Nascimento"/>
    <d v="2003-11-02T00:00:00"/>
    <s v="Brasil"/>
    <n v="1309"/>
    <x v="12"/>
    <n v="1912"/>
    <x v="5"/>
    <d v="2026-07-09T00:00:00"/>
    <m/>
    <x v="27"/>
    <x v="2"/>
    <x v="1"/>
    <x v="6"/>
    <x v="2"/>
    <x v="3"/>
    <s v=""/>
    <m/>
  </r>
  <r>
    <n v="311"/>
    <s v="Laura Martins"/>
    <d v="2002-12-22T00:00:00"/>
    <s v="Brasil"/>
    <n v="1050"/>
    <x v="3"/>
    <n v="3852"/>
    <x v="3"/>
    <d v="2026-07-09T00:00:00"/>
    <m/>
    <x v="28"/>
    <x v="2"/>
    <x v="1"/>
    <x v="6"/>
    <x v="2"/>
    <x v="3"/>
    <s v=""/>
    <m/>
  </r>
  <r>
    <n v="312"/>
    <s v="Juliana Pereira"/>
    <d v="2004-09-12T00:00:00"/>
    <s v="Brasil"/>
    <n v="1339"/>
    <x v="5"/>
    <n v="7190"/>
    <x v="5"/>
    <d v="2026-07-11T00:00:00"/>
    <m/>
    <x v="29"/>
    <x v="2"/>
    <x v="1"/>
    <x v="6"/>
    <x v="2"/>
    <x v="3"/>
    <s v=""/>
    <m/>
  </r>
  <r>
    <n v="313"/>
    <s v="Camila Souza"/>
    <d v="2002-03-23T00:00:00"/>
    <s v="Brasil"/>
    <n v="1278"/>
    <x v="6"/>
    <n v="3799"/>
    <x v="1"/>
    <d v="2026-07-12T00:00:00"/>
    <d v="2026-08-18T00:00:00"/>
    <x v="0"/>
    <x v="23"/>
    <x v="0"/>
    <x v="6"/>
    <x v="3"/>
    <x v="3"/>
    <n v="2026"/>
    <m/>
  </r>
  <r>
    <n v="314"/>
    <s v="Caio Moura"/>
    <d v="1985-05-22T00:00:00"/>
    <s v="Brasil"/>
    <n v="1180"/>
    <x v="13"/>
    <n v="3516"/>
    <x v="7"/>
    <d v="2026-07-14T00:00:00"/>
    <m/>
    <x v="30"/>
    <x v="2"/>
    <x v="1"/>
    <x v="6"/>
    <x v="2"/>
    <x v="3"/>
    <s v=""/>
    <m/>
  </r>
  <r>
    <n v="315"/>
    <s v="Laura Cavalcanti"/>
    <d v="2005-01-21T00:00:00"/>
    <s v="Brasil"/>
    <n v="1164"/>
    <x v="9"/>
    <n v="12174"/>
    <x v="0"/>
    <d v="2026-07-16T00:00:00"/>
    <m/>
    <x v="31"/>
    <x v="2"/>
    <x v="1"/>
    <x v="6"/>
    <x v="2"/>
    <x v="3"/>
    <s v=""/>
    <m/>
  </r>
  <r>
    <n v="316"/>
    <s v="Fábio Oliveira"/>
    <d v="1985-06-06T00:00:00"/>
    <s v="Brasil"/>
    <n v="1192"/>
    <x v="7"/>
    <n v="4081"/>
    <x v="6"/>
    <d v="2026-07-17T00:00:00"/>
    <m/>
    <x v="0"/>
    <x v="2"/>
    <x v="1"/>
    <x v="6"/>
    <x v="2"/>
    <x v="3"/>
    <s v=""/>
    <m/>
  </r>
  <r>
    <n v="317"/>
    <s v="Caio Freitas"/>
    <d v="1992-03-29T00:00:00"/>
    <s v="Brasil"/>
    <n v="1222"/>
    <x v="0"/>
    <n v="3137"/>
    <x v="0"/>
    <d v="2026-07-22T00:00:00"/>
    <d v="2026-12-19T00:00:00"/>
    <x v="0"/>
    <x v="24"/>
    <x v="0"/>
    <x v="6"/>
    <x v="6"/>
    <x v="3"/>
    <n v="2026"/>
    <m/>
  </r>
  <r>
    <n v="318"/>
    <s v="Davi Moura"/>
    <d v="2002-11-17T00:00:00"/>
    <s v="Brasil"/>
    <n v="1334"/>
    <x v="10"/>
    <n v="2991"/>
    <x v="6"/>
    <d v="2026-07-24T00:00:00"/>
    <m/>
    <x v="32"/>
    <x v="2"/>
    <x v="1"/>
    <x v="6"/>
    <x v="2"/>
    <x v="3"/>
    <s v=""/>
    <m/>
  </r>
  <r>
    <n v="319"/>
    <s v="Sofia Teixeira"/>
    <d v="2005-06-20T00:00:00"/>
    <s v="Brasil"/>
    <n v="1349"/>
    <x v="5"/>
    <n v="7895"/>
    <x v="5"/>
    <d v="2026-07-28T00:00:00"/>
    <d v="2026-10-04T00:00:00"/>
    <x v="0"/>
    <x v="25"/>
    <x v="0"/>
    <x v="6"/>
    <x v="7"/>
    <x v="3"/>
    <n v="2026"/>
    <m/>
  </r>
  <r>
    <n v="320"/>
    <s v="Vinícius Costa"/>
    <d v="1990-05-30T00:00:00"/>
    <s v="Brasil"/>
    <n v="1053"/>
    <x v="9"/>
    <n v="12250"/>
    <x v="0"/>
    <d v="2026-08-03T00:00:00"/>
    <m/>
    <x v="33"/>
    <x v="2"/>
    <x v="1"/>
    <x v="7"/>
    <x v="2"/>
    <x v="3"/>
    <s v=""/>
    <m/>
  </r>
  <r>
    <n v="321"/>
    <s v="Gabriela Teixeira"/>
    <d v="1977-07-12T00:00:00"/>
    <s v="Brasil"/>
    <n v="1311"/>
    <x v="0"/>
    <n v="3792"/>
    <x v="0"/>
    <d v="2026-08-04T00:00:00"/>
    <m/>
    <x v="0"/>
    <x v="2"/>
    <x v="1"/>
    <x v="7"/>
    <x v="2"/>
    <x v="3"/>
    <s v=""/>
    <m/>
  </r>
  <r>
    <n v="322"/>
    <s v="Juliana Lima"/>
    <d v="1992-03-14T00:00:00"/>
    <s v="Brasil"/>
    <n v="1325"/>
    <x v="12"/>
    <n v="1492"/>
    <x v="5"/>
    <d v="2026-08-07T00:00:00"/>
    <m/>
    <x v="0"/>
    <x v="2"/>
    <x v="1"/>
    <x v="7"/>
    <x v="2"/>
    <x v="3"/>
    <s v=""/>
    <m/>
  </r>
  <r>
    <n v="323"/>
    <s v="Kevin Campos"/>
    <d v="2002-09-29T00:00:00"/>
    <s v="Brasil"/>
    <n v="1316"/>
    <x v="3"/>
    <n v="4834"/>
    <x v="3"/>
    <d v="2026-08-10T00:00:00"/>
    <m/>
    <x v="0"/>
    <x v="2"/>
    <x v="1"/>
    <x v="7"/>
    <x v="2"/>
    <x v="3"/>
    <s v=""/>
    <m/>
  </r>
  <r>
    <n v="324"/>
    <s v="Kevin Barbosa"/>
    <d v="2003-04-10T00:00:00"/>
    <s v="Brasil"/>
    <n v="1116"/>
    <x v="8"/>
    <n v="6554"/>
    <x v="3"/>
    <d v="2026-08-20T00:00:00"/>
    <d v="2026-09-15T00:00:00"/>
    <x v="34"/>
    <x v="26"/>
    <x v="0"/>
    <x v="7"/>
    <x v="11"/>
    <x v="3"/>
    <n v="2026"/>
    <m/>
  </r>
  <r>
    <n v="325"/>
    <s v="Davi Batista"/>
    <d v="1977-02-28T00:00:00"/>
    <s v="Brasil"/>
    <n v="1340"/>
    <x v="11"/>
    <n v="6476"/>
    <x v="7"/>
    <d v="2026-08-29T00:00:00"/>
    <d v="2026-11-09T00:00:00"/>
    <x v="35"/>
    <x v="27"/>
    <x v="0"/>
    <x v="7"/>
    <x v="10"/>
    <x v="3"/>
    <n v="2026"/>
    <m/>
  </r>
  <r>
    <n v="326"/>
    <s v="Mateus Campos"/>
    <d v="2005-02-27T00:00:00"/>
    <s v="Brasil"/>
    <n v="1218"/>
    <x v="3"/>
    <n v="4179"/>
    <x v="3"/>
    <d v="2026-09-03T00:00:00"/>
    <m/>
    <x v="0"/>
    <x v="2"/>
    <x v="1"/>
    <x v="8"/>
    <x v="2"/>
    <x v="3"/>
    <s v=""/>
    <m/>
  </r>
  <r>
    <n v="327"/>
    <s v="Larissa Santos"/>
    <d v="1974-03-10T00:00:00"/>
    <s v="Brasil"/>
    <n v="1259"/>
    <x v="9"/>
    <n v="7175"/>
    <x v="0"/>
    <d v="2026-09-06T00:00:00"/>
    <m/>
    <x v="0"/>
    <x v="2"/>
    <x v="1"/>
    <x v="8"/>
    <x v="2"/>
    <x v="3"/>
    <s v=""/>
    <m/>
  </r>
  <r>
    <n v="328"/>
    <s v="Maria Lima"/>
    <d v="2001-05-01T00:00:00"/>
    <s v="Brasil"/>
    <n v="1135"/>
    <x v="2"/>
    <n v="6388"/>
    <x v="2"/>
    <d v="2026-09-22T00:00:00"/>
    <m/>
    <x v="36"/>
    <x v="2"/>
    <x v="1"/>
    <x v="8"/>
    <x v="2"/>
    <x v="3"/>
    <s v=""/>
    <m/>
  </r>
  <r>
    <n v="329"/>
    <s v="Felipe Pinto"/>
    <d v="1979-08-17T00:00:00"/>
    <s v="Brasil"/>
    <n v="1343"/>
    <x v="7"/>
    <n v="3019"/>
    <x v="6"/>
    <d v="2026-09-22T00:00:00"/>
    <d v="2026-11-10T00:00:00"/>
    <x v="37"/>
    <x v="28"/>
    <x v="0"/>
    <x v="8"/>
    <x v="10"/>
    <x v="3"/>
    <n v="2026"/>
    <m/>
  </r>
  <r>
    <n v="330"/>
    <s v="Samuel Santos"/>
    <d v="2003-04-02T00:00:00"/>
    <s v="Brasil"/>
    <n v="1046"/>
    <x v="8"/>
    <n v="5797"/>
    <x v="3"/>
    <d v="2026-09-23T00:00:00"/>
    <d v="2026-11-15T00:00:00"/>
    <x v="0"/>
    <x v="29"/>
    <x v="0"/>
    <x v="8"/>
    <x v="10"/>
    <x v="3"/>
    <n v="2026"/>
    <m/>
  </r>
  <r>
    <n v="331"/>
    <s v="João Rodrigues"/>
    <d v="2002-03-16T00:00:00"/>
    <s v="Brasil"/>
    <n v="1198"/>
    <x v="3"/>
    <n v="4820"/>
    <x v="3"/>
    <d v="2026-09-25T00:00:00"/>
    <m/>
    <x v="0"/>
    <x v="2"/>
    <x v="1"/>
    <x v="8"/>
    <x v="2"/>
    <x v="3"/>
    <s v=""/>
    <m/>
  </r>
  <r>
    <n v="332"/>
    <s v="Jéssica Campos"/>
    <d v="2003-09-29T00:00:00"/>
    <s v="Brasil"/>
    <n v="1008"/>
    <x v="1"/>
    <n v="2915"/>
    <x v="1"/>
    <d v="2026-09-26T00:00:00"/>
    <m/>
    <x v="38"/>
    <x v="2"/>
    <x v="1"/>
    <x v="8"/>
    <x v="2"/>
    <x v="3"/>
    <s v=""/>
    <m/>
  </r>
  <r>
    <n v="333"/>
    <s v="William Cardoso"/>
    <d v="1999-09-10T00:00:00"/>
    <s v="Brasil"/>
    <n v="1149"/>
    <x v="6"/>
    <n v="3577"/>
    <x v="1"/>
    <d v="2026-09-30T00:00:00"/>
    <m/>
    <x v="0"/>
    <x v="2"/>
    <x v="1"/>
    <x v="8"/>
    <x v="2"/>
    <x v="3"/>
    <s v=""/>
    <m/>
  </r>
  <r>
    <n v="334"/>
    <s v="Felipe Barbosa"/>
    <d v="1970-01-26T00:00:00"/>
    <s v="Brasil"/>
    <n v="1080"/>
    <x v="9"/>
    <n v="11174"/>
    <x v="0"/>
    <d v="2026-10-16T00:00:00"/>
    <m/>
    <x v="0"/>
    <x v="2"/>
    <x v="1"/>
    <x v="9"/>
    <x v="2"/>
    <x v="3"/>
    <s v=""/>
    <m/>
  </r>
  <r>
    <n v="335"/>
    <s v="Bruno Lima"/>
    <d v="1985-10-25T00:00:00"/>
    <s v="Brasil"/>
    <n v="1346"/>
    <x v="11"/>
    <n v="4669"/>
    <x v="7"/>
    <d v="2026-10-16T00:00:00"/>
    <d v="2026-12-20T00:00:00"/>
    <x v="39"/>
    <x v="30"/>
    <x v="0"/>
    <x v="9"/>
    <x v="6"/>
    <x v="3"/>
    <n v="2026"/>
    <m/>
  </r>
  <r>
    <n v="336"/>
    <s v="Diego Martins"/>
    <d v="1979-12-09T00:00:00"/>
    <s v="Brasil"/>
    <n v="1119"/>
    <x v="5"/>
    <n v="5970"/>
    <x v="5"/>
    <d v="2026-10-18T00:00:00"/>
    <m/>
    <x v="0"/>
    <x v="2"/>
    <x v="1"/>
    <x v="9"/>
    <x v="2"/>
    <x v="3"/>
    <s v=""/>
    <m/>
  </r>
  <r>
    <n v="337"/>
    <s v="Davi Dias"/>
    <d v="1971-01-23T00:00:00"/>
    <s v="Brasil"/>
    <n v="1245"/>
    <x v="3"/>
    <n v="4544"/>
    <x v="3"/>
    <d v="2026-10-20T00:00:00"/>
    <m/>
    <x v="40"/>
    <x v="2"/>
    <x v="1"/>
    <x v="9"/>
    <x v="2"/>
    <x v="3"/>
    <s v=""/>
    <m/>
  </r>
  <r>
    <n v="338"/>
    <s v="Vanessa Carvalho"/>
    <d v="1992-06-03T00:00:00"/>
    <s v="Brasil"/>
    <n v="1040"/>
    <x v="8"/>
    <n v="6088"/>
    <x v="3"/>
    <d v="2026-10-21T00:00:00"/>
    <m/>
    <x v="1"/>
    <x v="2"/>
    <x v="1"/>
    <x v="9"/>
    <x v="2"/>
    <x v="3"/>
    <s v=""/>
    <m/>
  </r>
  <r>
    <n v="339"/>
    <s v="Aline Moura"/>
    <d v="1977-06-12T00:00:00"/>
    <s v="Brasil"/>
    <n v="1190"/>
    <x v="2"/>
    <n v="8390"/>
    <x v="2"/>
    <d v="2026-10-27T00:00:00"/>
    <m/>
    <x v="2"/>
    <x v="2"/>
    <x v="1"/>
    <x v="9"/>
    <x v="2"/>
    <x v="3"/>
    <s v=""/>
    <m/>
  </r>
  <r>
    <n v="340"/>
    <s v="Vinícius Pinto"/>
    <d v="2002-02-13T00:00:00"/>
    <s v="Brasil"/>
    <n v="1208"/>
    <x v="3"/>
    <n v="5613"/>
    <x v="3"/>
    <d v="2026-10-27T00:00:00"/>
    <m/>
    <x v="0"/>
    <x v="2"/>
    <x v="1"/>
    <x v="9"/>
    <x v="2"/>
    <x v="3"/>
    <s v=""/>
    <m/>
  </r>
  <r>
    <n v="341"/>
    <s v="Maria Martins"/>
    <d v="1989-03-20T00:00:00"/>
    <s v="Brasil"/>
    <n v="1277"/>
    <x v="9"/>
    <n v="10644"/>
    <x v="0"/>
    <d v="2026-11-02T00:00:00"/>
    <m/>
    <x v="3"/>
    <x v="2"/>
    <x v="1"/>
    <x v="10"/>
    <x v="2"/>
    <x v="3"/>
    <s v=""/>
    <m/>
  </r>
  <r>
    <n v="342"/>
    <s v="Yasmin Souza"/>
    <d v="1990-07-16T00:00:00"/>
    <s v="Brasil"/>
    <n v="1165"/>
    <x v="2"/>
    <n v="6388"/>
    <x v="2"/>
    <d v="2026-11-06T00:00:00"/>
    <m/>
    <x v="4"/>
    <x v="2"/>
    <x v="1"/>
    <x v="10"/>
    <x v="2"/>
    <x v="3"/>
    <s v=""/>
    <m/>
  </r>
  <r>
    <n v="343"/>
    <s v="Lucas Araújo"/>
    <d v="2003-11-04T00:00:00"/>
    <s v="Brasil"/>
    <n v="1026"/>
    <x v="6"/>
    <n v="3723"/>
    <x v="1"/>
    <d v="2026-11-09T00:00:00"/>
    <m/>
    <x v="0"/>
    <x v="2"/>
    <x v="1"/>
    <x v="10"/>
    <x v="2"/>
    <x v="3"/>
    <s v=""/>
    <m/>
  </r>
  <r>
    <n v="344"/>
    <s v="Maria Pinto"/>
    <d v="2002-12-19T00:00:00"/>
    <s v="Brasil"/>
    <n v="1130"/>
    <x v="10"/>
    <n v="2979"/>
    <x v="6"/>
    <d v="2026-11-11T00:00:00"/>
    <m/>
    <x v="5"/>
    <x v="2"/>
    <x v="1"/>
    <x v="10"/>
    <x v="2"/>
    <x v="3"/>
    <s v=""/>
    <m/>
  </r>
  <r>
    <n v="345"/>
    <s v="Samuel Almeida"/>
    <d v="1997-08-28T00:00:00"/>
    <s v="Brasil"/>
    <n v="1236"/>
    <x v="6"/>
    <n v="2864"/>
    <x v="1"/>
    <d v="2026-11-21T00:00:00"/>
    <d v="2026-12-25T00:00:00"/>
    <x v="6"/>
    <x v="31"/>
    <x v="0"/>
    <x v="10"/>
    <x v="6"/>
    <x v="3"/>
    <n v="2026"/>
    <m/>
  </r>
  <r>
    <n v="346"/>
    <s v="Vanessa Santos"/>
    <d v="1995-09-22T00:00:00"/>
    <s v="Brasil"/>
    <n v="1336"/>
    <x v="11"/>
    <n v="7027"/>
    <x v="7"/>
    <d v="2026-11-27T00:00:00"/>
    <m/>
    <x v="0"/>
    <x v="2"/>
    <x v="1"/>
    <x v="10"/>
    <x v="2"/>
    <x v="3"/>
    <s v=""/>
    <m/>
  </r>
  <r>
    <n v="347"/>
    <s v="Mateus Araújo"/>
    <d v="2002-04-07T00:00:00"/>
    <s v="Brasil"/>
    <n v="1317"/>
    <x v="11"/>
    <n v="7852"/>
    <x v="7"/>
    <d v="2026-12-04T00:00:00"/>
    <m/>
    <x v="0"/>
    <x v="2"/>
    <x v="1"/>
    <x v="11"/>
    <x v="2"/>
    <x v="3"/>
    <s v=""/>
    <m/>
  </r>
  <r>
    <n v="348"/>
    <s v="Bruno Gomes"/>
    <d v="2000-01-23T00:00:00"/>
    <s v="Brasil"/>
    <n v="1027"/>
    <x v="1"/>
    <n v="2982"/>
    <x v="1"/>
    <d v="2026-12-10T00:00:00"/>
    <m/>
    <x v="7"/>
    <x v="2"/>
    <x v="1"/>
    <x v="11"/>
    <x v="2"/>
    <x v="3"/>
    <s v=""/>
    <m/>
  </r>
  <r>
    <n v="349"/>
    <s v="Camila Monteiro"/>
    <d v="1972-10-14T00:00:00"/>
    <s v="Brasil"/>
    <n v="1154"/>
    <x v="13"/>
    <n v="2628"/>
    <x v="7"/>
    <d v="2026-12-23T00:00:00"/>
    <m/>
    <x v="0"/>
    <x v="2"/>
    <x v="1"/>
    <x v="11"/>
    <x v="2"/>
    <x v="3"/>
    <s v=""/>
    <m/>
  </r>
  <r>
    <n v="350"/>
    <s v="Luana Mendes"/>
    <d v="1996-01-06T00:00:00"/>
    <s v="Brasil"/>
    <n v="1052"/>
    <x v="1"/>
    <n v="4429"/>
    <x v="1"/>
    <d v="2026-12-30T00:00:00"/>
    <m/>
    <x v="8"/>
    <x v="2"/>
    <x v="1"/>
    <x v="11"/>
    <x v="2"/>
    <x v="3"/>
    <s v="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519EF-FA37-40DB-9FB9-864EF9F72C9A}" name="Tabela dinâmica19" cacheId="103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B5" firstHeaderRow="1" firstDataRow="1" firstDataCol="1"/>
  <pivotFields count="18"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5">
        <item x="0"/>
        <item h="1" x="1"/>
        <item h="1" x="2"/>
        <item h="1" x="3"/>
        <item t="default"/>
      </items>
    </pivotField>
    <pivotField compact="0" outline="0" showAll="0"/>
    <pivotField compact="0" outline="0" showAll="0"/>
  </pivotFields>
  <rowFields count="1">
    <field x="12"/>
  </rowFields>
  <rowItems count="2">
    <i>
      <x/>
    </i>
    <i>
      <x v="1"/>
    </i>
  </rowItems>
  <colItems count="1">
    <i/>
  </colItems>
  <dataFields count="1">
    <dataField name="Contagem de Nome_completo" fld="1" subtotal="count" baseField="0" baseItem="0"/>
  </dataFields>
  <formats count="1">
    <format dxfId="87">
      <pivotArea field="1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D9BF0-87E3-4461-A49B-08C56F0C02BA}" name="Tabela dinâmica18" cacheId="103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8:B10" firstHeaderRow="1" firstDataRow="1" firstDataCol="1"/>
  <pivotFields count="18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5">
        <item x="0"/>
        <item h="1" x="1"/>
        <item h="1" x="2"/>
        <item h="1" x="3"/>
        <item t="default"/>
      </items>
    </pivotField>
    <pivotField compact="0" outline="0" showAll="0"/>
    <pivotField compact="0" outline="0" showAll="0"/>
  </pivotFields>
  <rowFields count="1">
    <field x="12"/>
  </rowFields>
  <rowItems count="2">
    <i>
      <x/>
    </i>
    <i>
      <x v="1"/>
    </i>
  </rowItems>
  <colItems count="1">
    <i/>
  </colItems>
  <dataFields count="1">
    <dataField name="Soma de Salário_Atual" fld="6" baseField="0" baseItem="0" numFmtId="44"/>
  </dataFields>
  <formats count="3">
    <format dxfId="84">
      <pivotArea field="12" type="button" dataOnly="0" labelOnly="1" outline="0" axis="axisRow" fieldPosition="0"/>
    </format>
    <format dxfId="85">
      <pivotArea outline="0" collapsedLevelsAreSubtotals="1" fieldPosition="0"/>
    </format>
    <format dxfId="86">
      <pivotArea outline="0" fieldPosition="0">
        <references count="1">
          <reference field="12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00071-9ECB-4476-877D-42D5313722A5}" name="Tabela dinâmica17" cacheId="103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D3:E15" firstHeaderRow="1" firstDataRow="1" firstDataCol="1"/>
  <pivotFields count="18"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>
      <items count="5">
        <item x="0"/>
        <item h="1" x="1"/>
        <item h="1" x="2"/>
        <item h="1" x="3"/>
        <item t="default"/>
      </items>
    </pivotField>
    <pivotField compact="0" outline="0" showAll="0"/>
    <pivotField compact="0" outline="0" showAll="0"/>
  </pivotFields>
  <rowFields count="1">
    <field x="1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Contagem de Nome_completo" fld="1" subtotal="count" baseField="0" baseItem="0"/>
  </dataFields>
  <formats count="3">
    <format dxfId="81">
      <pivotArea field="12" type="button" dataOnly="0" labelOnly="1" outline="0"/>
    </format>
    <format dxfId="82">
      <pivotArea outline="0" fieldPosition="0">
        <references count="1">
          <reference field="13" count="1" selected="0">
            <x v="1"/>
          </reference>
        </references>
      </pivotArea>
    </format>
    <format dxfId="83">
      <pivotArea dataOnly="0" labelOnly="1" outline="0" fieldPosition="0">
        <references count="1">
          <reference field="13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99952-7280-4F5E-8C57-5C4AB3E6F5D7}" name="Tabela dinâmica16" cacheId="103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D18:E26" firstHeaderRow="1" firstDataRow="1" firstDataCol="1"/>
  <pivotFields count="18"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13">
        <item x="2"/>
        <item x="9"/>
        <item x="1"/>
        <item x="5"/>
        <item x="4"/>
        <item x="8"/>
        <item x="0"/>
        <item x="3"/>
        <item x="11"/>
        <item x="7"/>
        <item x="10"/>
        <item x="6"/>
        <item t="default"/>
      </items>
    </pivotField>
    <pivotField compact="0" outline="0" showAll="0">
      <items count="5">
        <item x="0"/>
        <item h="1" x="1"/>
        <item h="1" x="2"/>
        <item h="1" x="3"/>
        <item t="default"/>
      </items>
    </pivotField>
    <pivotField compact="0" outline="0" showAll="0"/>
    <pivotField compact="0" outline="0" showAll="0"/>
  </pivotFields>
  <rowFields count="1">
    <field x="14"/>
  </rowFields>
  <rowItems count="8">
    <i>
      <x/>
    </i>
    <i>
      <x v="2"/>
    </i>
    <i>
      <x v="3"/>
    </i>
    <i>
      <x v="4"/>
    </i>
    <i>
      <x v="6"/>
    </i>
    <i>
      <x v="7"/>
    </i>
    <i>
      <x v="9"/>
    </i>
    <i>
      <x v="11"/>
    </i>
  </rowItems>
  <colItems count="1">
    <i/>
  </colItems>
  <dataFields count="1">
    <dataField name="Contagem de Nome_completo" fld="1" subtotal="count" baseField="0" baseItem="0"/>
  </dataFields>
  <formats count="1">
    <format dxfId="80">
      <pivotArea field="12" type="button" dataOnly="0" labelOnly="1" outline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2360A-6999-44B7-AB49-6764F575BEED}" name="Tabela dinâmica15" cacheId="103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G3:H15" firstHeaderRow="1" firstDataRow="1" firstDataCol="1"/>
  <pivotFields count="18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2"/>
        <item x="9"/>
        <item x="1"/>
        <item x="5"/>
        <item x="4"/>
        <item x="8"/>
        <item x="0"/>
        <item x="3"/>
        <item x="11"/>
        <item x="7"/>
        <item x="10"/>
        <item x="6"/>
        <item t="default"/>
      </items>
    </pivotField>
    <pivotField compact="0" outline="0" showAll="0">
      <items count="5">
        <item x="0"/>
        <item h="1" x="1"/>
        <item h="1" x="2"/>
        <item h="1" x="3"/>
        <item t="default"/>
      </items>
    </pivotField>
    <pivotField compact="0" outline="0" showAll="0"/>
    <pivotField compact="0" outline="0" showAll="0"/>
  </pivotFields>
  <rowFields count="1">
    <field x="1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oma de Salário_Atual" fld="6" baseField="0" baseItem="0" numFmtId="44"/>
  </dataFields>
  <formats count="4">
    <format dxfId="76">
      <pivotArea field="12" type="button" dataOnly="0" labelOnly="1" outline="0"/>
    </format>
    <format dxfId="77">
      <pivotArea dataOnly="0" labelOnly="1" outline="0" axis="axisValues" fieldPosition="0"/>
    </format>
    <format dxfId="78">
      <pivotArea outline="0" collapsedLevelsAreSubtotals="1" fieldPosition="0"/>
    </format>
    <format dxfId="79">
      <pivotArea outline="0" fieldPosition="0">
        <references count="1">
          <reference field="13" count="1" selected="0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EFC95-B66F-40CB-A4C1-CA6EEE240E5F}" name="Tabela dinâmica14" cacheId="103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G18:H26" firstHeaderRow="1" firstDataRow="1" firstDataCol="1"/>
  <pivotFields count="18"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3"/>
        <item x="6"/>
        <item x="4"/>
        <item x="2"/>
        <item x="5"/>
        <item x="7"/>
        <item x="0"/>
        <item x="8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h="1" x="0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2"/>
        <item x="9"/>
        <item x="1"/>
        <item x="5"/>
        <item x="4"/>
        <item x="8"/>
        <item x="0"/>
        <item x="3"/>
        <item x="11"/>
        <item x="7"/>
        <item x="10"/>
        <item x="6"/>
        <item t="default"/>
      </items>
    </pivotField>
    <pivotField compact="0" outline="0" showAll="0">
      <items count="5">
        <item x="0"/>
        <item h="1" x="1"/>
        <item h="1" x="2"/>
        <item h="1" x="3"/>
        <item t="default"/>
      </items>
    </pivotField>
    <pivotField compact="0" outline="0" showAll="0"/>
    <pivotField compact="0" outline="0"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Contagem de Nome_completo" fld="1" subtotal="count" baseField="0" baseItem="0"/>
  </dataFields>
  <formats count="3">
    <format dxfId="73">
      <pivotArea field="12" type="button" dataOnly="0" labelOnly="1" outline="0"/>
    </format>
    <format dxfId="74">
      <pivotArea outline="0" collapsedLevelsAreSubtotals="1" fieldPosition="0"/>
    </format>
    <format dxfId="7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142DD-F95D-4D76-BF97-2585BDE58179}" name="Tabela dinâmica13" cacheId="103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G30:H43" firstHeaderRow="1" firstDataRow="1" firstDataCol="1"/>
  <pivotFields count="18"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16">
        <item x="14"/>
        <item x="11"/>
        <item x="8"/>
        <item x="5"/>
        <item x="13"/>
        <item x="0"/>
        <item x="10"/>
        <item x="9"/>
        <item x="2"/>
        <item x="3"/>
        <item x="12"/>
        <item x="4"/>
        <item x="6"/>
        <item x="1"/>
        <item x="7"/>
        <item t="default"/>
      </items>
    </pivotField>
    <pivotField compact="0" outline="0" showAll="0"/>
    <pivotField compact="0" outline="0" showAll="0">
      <items count="10">
        <item x="1"/>
        <item x="3"/>
        <item x="6"/>
        <item x="4"/>
        <item x="2"/>
        <item x="5"/>
        <item x="7"/>
        <item x="0"/>
        <item x="8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h="1" x="0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2"/>
        <item x="9"/>
        <item x="1"/>
        <item x="5"/>
        <item x="4"/>
        <item x="8"/>
        <item x="0"/>
        <item x="3"/>
        <item x="11"/>
        <item x="7"/>
        <item x="10"/>
        <item x="6"/>
        <item t="default"/>
      </items>
    </pivotField>
    <pivotField compact="0" outline="0" showAll="0">
      <items count="5">
        <item x="0"/>
        <item h="1" x="1"/>
        <item h="1" x="2"/>
        <item h="1" x="3"/>
        <item t="default"/>
      </items>
    </pivotField>
    <pivotField compact="0" outline="0" showAll="0"/>
    <pivotField compact="0" outline="0" showAll="0"/>
  </pivotFields>
  <rowFields count="1"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</rowItems>
  <colItems count="1">
    <i/>
  </colItems>
  <dataFields count="1">
    <dataField name="Contagem de Nome_completo" fld="1" subtotal="count" baseField="0" baseItem="0"/>
  </dataFields>
  <formats count="3">
    <format dxfId="70">
      <pivotArea field="12" type="button" dataOnly="0" labelOnly="1" outline="0"/>
    </format>
    <format dxfId="71">
      <pivotArea outline="0" collapsedLevelsAreSubtotals="1" fieldPosition="0"/>
    </format>
    <format dxfId="7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9C246-0BA9-41D5-A953-ADDFF42A3DED}" name="Tabela dinâmica12" cacheId="103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J3:J25" firstHeaderRow="1" firstDataRow="1" firstDataCol="1"/>
  <pivotFields count="18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 sortType="ascending">
      <items count="42">
        <item h="1" x="0"/>
        <item x="17"/>
        <item x="20"/>
        <item x="30"/>
        <item x="14"/>
        <item x="2"/>
        <item x="36"/>
        <item x="5"/>
        <item x="9"/>
        <item x="39"/>
        <item x="27"/>
        <item x="18"/>
        <item x="32"/>
        <item x="40"/>
        <item x="6"/>
        <item x="16"/>
        <item x="21"/>
        <item x="26"/>
        <item x="4"/>
        <item x="10"/>
        <item x="38"/>
        <item x="1"/>
        <item x="33"/>
        <item x="7"/>
        <item x="22"/>
        <item x="37"/>
        <item x="24"/>
        <item x="31"/>
        <item x="13"/>
        <item x="8"/>
        <item x="25"/>
        <item x="23"/>
        <item x="34"/>
        <item x="11"/>
        <item x="35"/>
        <item x="12"/>
        <item x="28"/>
        <item x="19"/>
        <item x="15"/>
        <item x="29"/>
        <item x="3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>
      <items count="5">
        <item x="0"/>
        <item h="1" x="1"/>
        <item h="1" x="2"/>
        <item h="1" x="3"/>
        <item t="default"/>
      </items>
    </pivotField>
    <pivotField compact="0" outline="0" showAll="0"/>
    <pivotField compact="0" outline="0" showAll="0"/>
  </pivotFields>
  <rowFields count="1">
    <field x="10"/>
  </rowFields>
  <rowItems count="22">
    <i>
      <x v="1"/>
    </i>
    <i>
      <x v="2"/>
    </i>
    <i>
      <x v="4"/>
    </i>
    <i>
      <x v="5"/>
    </i>
    <i>
      <x v="7"/>
    </i>
    <i>
      <x v="8"/>
    </i>
    <i>
      <x v="11"/>
    </i>
    <i>
      <x v="14"/>
    </i>
    <i>
      <x v="15"/>
    </i>
    <i>
      <x v="16"/>
    </i>
    <i>
      <x v="18"/>
    </i>
    <i>
      <x v="19"/>
    </i>
    <i>
      <x v="21"/>
    </i>
    <i>
      <x v="23"/>
    </i>
    <i>
      <x v="24"/>
    </i>
    <i>
      <x v="28"/>
    </i>
    <i>
      <x v="29"/>
    </i>
    <i>
      <x v="33"/>
    </i>
    <i>
      <x v="35"/>
    </i>
    <i>
      <x v="37"/>
    </i>
    <i>
      <x v="38"/>
    </i>
    <i>
      <x v="40"/>
    </i>
  </rowItems>
  <colItems count="1">
    <i/>
  </colItems>
  <formats count="5">
    <format dxfId="65">
      <pivotArea field="12" type="button" dataOnly="0" labelOnly="1" outline="0"/>
    </format>
    <format dxfId="66">
      <pivotArea field="13" type="button" dataOnly="0" labelOnly="1" outline="0"/>
    </format>
    <format dxfId="67">
      <pivotArea dataOnly="0" labelOnly="1" outline="0" fieldPosition="0">
        <references count="1">
          <reference field="10" count="1">
            <x v="3"/>
          </reference>
        </references>
      </pivotArea>
    </format>
    <format dxfId="68">
      <pivotArea dataOnly="0" labelOnly="1" outline="0" fieldPosition="0">
        <references count="1">
          <reference field="10" count="1">
            <x v="5"/>
          </reference>
        </references>
      </pivotArea>
    </format>
    <format dxfId="69">
      <pivotArea dataOnly="0" labelOnly="1" outline="0" fieldPosition="0">
        <references count="1">
          <reference field="10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A0EA7-E3B7-4286-9AF7-B611EDB6E2B4}" name="Tabela dinâmica11" cacheId="103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L3:L13" firstHeaderRow="1" firstDataRow="1" firstDataCol="1"/>
  <pivotFields count="18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 sortType="ascending">
      <items count="42">
        <item h="1" x="0"/>
        <item x="17"/>
        <item x="20"/>
        <item x="30"/>
        <item x="14"/>
        <item x="2"/>
        <item x="36"/>
        <item x="5"/>
        <item x="9"/>
        <item x="39"/>
        <item x="27"/>
        <item x="18"/>
        <item x="32"/>
        <item x="40"/>
        <item x="6"/>
        <item x="16"/>
        <item x="21"/>
        <item x="26"/>
        <item x="4"/>
        <item x="10"/>
        <item x="38"/>
        <item x="1"/>
        <item x="33"/>
        <item x="7"/>
        <item x="22"/>
        <item x="37"/>
        <item x="24"/>
        <item x="31"/>
        <item x="13"/>
        <item x="8"/>
        <item x="25"/>
        <item x="23"/>
        <item x="34"/>
        <item x="11"/>
        <item x="35"/>
        <item x="12"/>
        <item x="28"/>
        <item x="19"/>
        <item x="15"/>
        <item x="29"/>
        <item x="3"/>
        <item t="default"/>
      </items>
    </pivotField>
    <pivotField axis="axisRow" compact="0" outline="0" showAll="0" sortType="ascending">
      <items count="42">
        <item h="1" x="2"/>
        <item x="18"/>
        <item x="25"/>
        <item x="16"/>
        <item x="23"/>
        <item x="9"/>
        <item x="33"/>
        <item x="20"/>
        <item x="6"/>
        <item x="31"/>
        <item x="19"/>
        <item x="40"/>
        <item x="27"/>
        <item x="1"/>
        <item x="14"/>
        <item x="37"/>
        <item x="32"/>
        <item x="5"/>
        <item x="0"/>
        <item x="30"/>
        <item x="39"/>
        <item x="7"/>
        <item x="26"/>
        <item x="28"/>
        <item x="15"/>
        <item x="38"/>
        <item x="12"/>
        <item x="34"/>
        <item x="13"/>
        <item x="10"/>
        <item x="4"/>
        <item x="36"/>
        <item x="22"/>
        <item x="24"/>
        <item x="3"/>
        <item x="8"/>
        <item x="17"/>
        <item x="11"/>
        <item x="29"/>
        <item x="35"/>
        <item x="21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>
      <items count="5">
        <item x="0"/>
        <item h="1" x="1"/>
        <item h="1" x="2"/>
        <item h="1" x="3"/>
        <item t="default"/>
      </items>
    </pivotField>
    <pivotField compact="0" outline="0" showAll="0"/>
    <pivotField compact="0" outline="0" showAll="0"/>
  </pivotFields>
  <rowFields count="1">
    <field x="11"/>
  </rowFields>
  <rowItems count="10">
    <i>
      <x v="5"/>
    </i>
    <i>
      <x v="8"/>
    </i>
    <i>
      <x v="13"/>
    </i>
    <i>
      <x v="17"/>
    </i>
    <i>
      <x v="18"/>
    </i>
    <i>
      <x v="21"/>
    </i>
    <i>
      <x v="29"/>
    </i>
    <i>
      <x v="30"/>
    </i>
    <i>
      <x v="34"/>
    </i>
    <i>
      <x v="35"/>
    </i>
  </rowItems>
  <colItems count="1">
    <i/>
  </colItems>
  <formats count="3">
    <format dxfId="62">
      <pivotArea field="12" type="button" dataOnly="0" labelOnly="1" outline="0"/>
    </format>
    <format dxfId="63">
      <pivotArea field="13" type="button" dataOnly="0" labelOnly="1" outline="0"/>
    </format>
    <format dxfId="64">
      <pivotArea dataOnly="0" labelOnly="1" outline="0" fieldPosition="0">
        <references count="1">
          <reference field="11" count="1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9612D2-CE7B-4335-B433-F021312EE3BB}" name="Tabela dinâmica21" cacheId="1031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compactData="0" multipleFieldFilters="0">
  <location ref="O51:O73" firstHeaderRow="1" firstDataRow="1" firstDataCol="1"/>
  <pivotFields count="18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name="Feedback de Admissão" axis="axisRow" compact="0" outline="0" showAll="0" sortType="ascending">
      <items count="42">
        <item h="1" x="0"/>
        <item x="17"/>
        <item x="20"/>
        <item x="30"/>
        <item x="14"/>
        <item x="2"/>
        <item x="36"/>
        <item x="5"/>
        <item x="9"/>
        <item x="39"/>
        <item x="27"/>
        <item x="18"/>
        <item x="32"/>
        <item x="40"/>
        <item x="6"/>
        <item x="16"/>
        <item x="21"/>
        <item x="26"/>
        <item x="4"/>
        <item x="10"/>
        <item x="38"/>
        <item x="1"/>
        <item x="33"/>
        <item x="7"/>
        <item x="22"/>
        <item x="37"/>
        <item x="24"/>
        <item x="31"/>
        <item x="13"/>
        <item x="8"/>
        <item x="25"/>
        <item x="23"/>
        <item x="34"/>
        <item x="11"/>
        <item x="35"/>
        <item x="12"/>
        <item x="28"/>
        <item x="19"/>
        <item x="15"/>
        <item x="29"/>
        <item x="3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>
      <items count="5">
        <item x="0"/>
        <item h="1" x="1"/>
        <item h="1" x="2"/>
        <item h="1" x="3"/>
        <item t="default"/>
      </items>
    </pivotField>
    <pivotField compact="0" outline="0" showAll="0"/>
    <pivotField compact="0" outline="0" showAll="0"/>
  </pivotFields>
  <rowFields count="1">
    <field x="10"/>
  </rowFields>
  <rowItems count="22">
    <i>
      <x v="1"/>
    </i>
    <i>
      <x v="2"/>
    </i>
    <i>
      <x v="4"/>
    </i>
    <i>
      <x v="5"/>
    </i>
    <i>
      <x v="7"/>
    </i>
    <i>
      <x v="8"/>
    </i>
    <i>
      <x v="11"/>
    </i>
    <i>
      <x v="14"/>
    </i>
    <i>
      <x v="15"/>
    </i>
    <i>
      <x v="16"/>
    </i>
    <i>
      <x v="18"/>
    </i>
    <i>
      <x v="19"/>
    </i>
    <i>
      <x v="21"/>
    </i>
    <i>
      <x v="23"/>
    </i>
    <i>
      <x v="24"/>
    </i>
    <i>
      <x v="28"/>
    </i>
    <i>
      <x v="29"/>
    </i>
    <i>
      <x v="33"/>
    </i>
    <i>
      <x v="35"/>
    </i>
    <i>
      <x v="37"/>
    </i>
    <i>
      <x v="38"/>
    </i>
    <i>
      <x v="40"/>
    </i>
  </rowItems>
  <colItems count="1">
    <i/>
  </colItems>
  <formats count="8">
    <format dxfId="54">
      <pivotArea field="12" type="button" dataOnly="0" labelOnly="1" outline="0"/>
    </format>
    <format dxfId="55">
      <pivotArea field="13" type="button" dataOnly="0" labelOnly="1" outline="0"/>
    </format>
    <format dxfId="56">
      <pivotArea dataOnly="0" labelOnly="1" outline="0" fieldPosition="0">
        <references count="1">
          <reference field="10" count="1">
            <x v="3"/>
          </reference>
        </references>
      </pivotArea>
    </format>
    <format dxfId="57">
      <pivotArea dataOnly="0" labelOnly="1" outline="0" fieldPosition="0">
        <references count="1">
          <reference field="10" count="1">
            <x v="5"/>
          </reference>
        </references>
      </pivotArea>
    </format>
    <format dxfId="58">
      <pivotArea dataOnly="0" labelOnly="1" outline="0" fieldPosition="0">
        <references count="1">
          <reference field="10" count="1">
            <x v="10"/>
          </reference>
        </references>
      </pivotArea>
    </format>
    <format dxfId="59">
      <pivotArea type="all" dataOnly="0" outline="0" fieldPosition="0"/>
    </format>
    <format dxfId="60">
      <pivotArea field="10" type="button" dataOnly="0" labelOnly="1" outline="0" axis="axisRow" fieldPosition="0"/>
    </format>
    <format dxfId="61">
      <pivotArea dataOnly="0" labelOnly="1" outline="0" fieldPosition="0">
        <references count="1">
          <reference field="10" count="22">
            <x v="1"/>
            <x v="2"/>
            <x v="4"/>
            <x v="5"/>
            <x v="7"/>
            <x v="8"/>
            <x v="11"/>
            <x v="14"/>
            <x v="15"/>
            <x v="16"/>
            <x v="18"/>
            <x v="19"/>
            <x v="21"/>
            <x v="23"/>
            <x v="24"/>
            <x v="28"/>
            <x v="29"/>
            <x v="33"/>
            <x v="35"/>
            <x v="37"/>
            <x v="38"/>
            <x v="4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AD70A-041C-4363-A894-4AF51C0B6A64}" name="Tabela dinâmica20" cacheId="1031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compactData="0" multipleFieldFilters="0">
  <location ref="O76:O86" firstHeaderRow="1" firstDataRow="1" firstDataCol="1"/>
  <pivotFields count="18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 sortType="ascending">
      <items count="42">
        <item h="1" x="0"/>
        <item x="17"/>
        <item x="20"/>
        <item x="30"/>
        <item x="14"/>
        <item x="2"/>
        <item x="36"/>
        <item x="5"/>
        <item x="9"/>
        <item x="39"/>
        <item x="27"/>
        <item x="18"/>
        <item x="32"/>
        <item x="40"/>
        <item x="6"/>
        <item x="16"/>
        <item x="21"/>
        <item x="26"/>
        <item x="4"/>
        <item x="10"/>
        <item x="38"/>
        <item x="1"/>
        <item x="33"/>
        <item x="7"/>
        <item x="22"/>
        <item x="37"/>
        <item x="24"/>
        <item x="31"/>
        <item x="13"/>
        <item x="8"/>
        <item x="25"/>
        <item x="23"/>
        <item x="34"/>
        <item x="11"/>
        <item x="35"/>
        <item x="12"/>
        <item x="28"/>
        <item x="19"/>
        <item x="15"/>
        <item x="29"/>
        <item x="3"/>
        <item t="default"/>
      </items>
    </pivotField>
    <pivotField name="Feedback de Desligamento" axis="axisRow" compact="0" outline="0" showAll="0" sortType="ascending">
      <items count="42">
        <item h="1" x="2"/>
        <item x="18"/>
        <item x="25"/>
        <item x="16"/>
        <item x="23"/>
        <item x="9"/>
        <item x="33"/>
        <item x="20"/>
        <item x="6"/>
        <item x="31"/>
        <item x="19"/>
        <item x="40"/>
        <item x="27"/>
        <item x="1"/>
        <item x="14"/>
        <item x="37"/>
        <item x="32"/>
        <item x="5"/>
        <item x="0"/>
        <item x="30"/>
        <item x="39"/>
        <item x="7"/>
        <item x="26"/>
        <item x="28"/>
        <item x="15"/>
        <item x="38"/>
        <item x="12"/>
        <item x="34"/>
        <item x="13"/>
        <item x="10"/>
        <item x="4"/>
        <item x="36"/>
        <item x="22"/>
        <item x="24"/>
        <item x="3"/>
        <item x="8"/>
        <item x="17"/>
        <item x="11"/>
        <item x="29"/>
        <item x="35"/>
        <item x="21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>
      <items count="5">
        <item x="0"/>
        <item h="1" x="1"/>
        <item h="1" x="2"/>
        <item h="1" x="3"/>
        <item t="default"/>
      </items>
    </pivotField>
    <pivotField compact="0" outline="0" showAll="0"/>
    <pivotField compact="0" outline="0" showAll="0"/>
  </pivotFields>
  <rowFields count="1">
    <field x="11"/>
  </rowFields>
  <rowItems count="10">
    <i>
      <x v="5"/>
    </i>
    <i>
      <x v="8"/>
    </i>
    <i>
      <x v="13"/>
    </i>
    <i>
      <x v="17"/>
    </i>
    <i>
      <x v="18"/>
    </i>
    <i>
      <x v="21"/>
    </i>
    <i>
      <x v="29"/>
    </i>
    <i>
      <x v="30"/>
    </i>
    <i>
      <x v="34"/>
    </i>
    <i>
      <x v="35"/>
    </i>
  </rowItems>
  <colItems count="1">
    <i/>
  </colItems>
  <formats count="7">
    <format dxfId="47">
      <pivotArea field="12" type="button" dataOnly="0" labelOnly="1" outline="0"/>
    </format>
    <format dxfId="48">
      <pivotArea field="13" type="button" dataOnly="0" labelOnly="1" outline="0"/>
    </format>
    <format dxfId="49">
      <pivotArea dataOnly="0" labelOnly="1" outline="0" fieldPosition="0">
        <references count="1">
          <reference field="11" count="1">
            <x v="19"/>
          </reference>
        </references>
      </pivotArea>
    </format>
    <format dxfId="50">
      <pivotArea dataOnly="0" labelOnly="1" outline="0" fieldPosition="0">
        <references count="1">
          <reference field="11" count="1">
            <x v="1"/>
          </reference>
        </references>
      </pivotArea>
    </format>
    <format dxfId="51">
      <pivotArea type="all" dataOnly="0" outline="0" fieldPosition="0"/>
    </format>
    <format dxfId="52">
      <pivotArea field="11" type="button" dataOnly="0" labelOnly="1" outline="0" axis="axisRow" fieldPosition="0"/>
    </format>
    <format dxfId="53">
      <pivotArea dataOnly="0" labelOnly="1" outline="0" fieldPosition="0">
        <references count="1">
          <reference field="11" count="10">
            <x v="5"/>
            <x v="8"/>
            <x v="13"/>
            <x v="17"/>
            <x v="18"/>
            <x v="21"/>
            <x v="29"/>
            <x v="30"/>
            <x v="34"/>
            <x v="3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3B326-FC9D-4177-9484-F00FF0080D28}" name="Tabela dinâmica10" cacheId="103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L3:L13" firstHeaderRow="1" firstDataRow="1" firstDataCol="1"/>
  <pivotFields count="18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 sortType="ascending">
      <items count="42">
        <item h="1" x="0"/>
        <item x="17"/>
        <item x="20"/>
        <item x="30"/>
        <item x="14"/>
        <item x="2"/>
        <item x="36"/>
        <item x="5"/>
        <item x="9"/>
        <item x="39"/>
        <item x="27"/>
        <item x="18"/>
        <item x="32"/>
        <item x="40"/>
        <item x="6"/>
        <item x="16"/>
        <item x="21"/>
        <item x="26"/>
        <item x="4"/>
        <item x="10"/>
        <item x="38"/>
        <item x="1"/>
        <item x="33"/>
        <item x="7"/>
        <item x="22"/>
        <item x="37"/>
        <item x="24"/>
        <item x="31"/>
        <item x="13"/>
        <item x="8"/>
        <item x="25"/>
        <item x="23"/>
        <item x="34"/>
        <item x="11"/>
        <item x="35"/>
        <item x="12"/>
        <item x="28"/>
        <item x="19"/>
        <item x="15"/>
        <item x="29"/>
        <item x="3"/>
        <item t="default"/>
      </items>
    </pivotField>
    <pivotField name="Feedback de Desligamento" axis="axisRow" compact="0" outline="0" showAll="0" sortType="ascending">
      <items count="42">
        <item h="1" x="2"/>
        <item x="18"/>
        <item x="25"/>
        <item x="16"/>
        <item x="23"/>
        <item x="9"/>
        <item x="33"/>
        <item x="20"/>
        <item x="6"/>
        <item x="31"/>
        <item x="19"/>
        <item x="40"/>
        <item x="27"/>
        <item x="1"/>
        <item x="14"/>
        <item x="37"/>
        <item x="32"/>
        <item x="5"/>
        <item x="0"/>
        <item x="30"/>
        <item x="39"/>
        <item x="7"/>
        <item x="26"/>
        <item x="28"/>
        <item x="15"/>
        <item x="38"/>
        <item x="12"/>
        <item x="34"/>
        <item x="13"/>
        <item x="10"/>
        <item x="4"/>
        <item x="36"/>
        <item x="22"/>
        <item x="24"/>
        <item x="3"/>
        <item x="8"/>
        <item x="17"/>
        <item x="11"/>
        <item x="29"/>
        <item x="35"/>
        <item x="21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>
      <items count="5">
        <item x="0"/>
        <item h="1" x="1"/>
        <item h="1" x="2"/>
        <item h="1" x="3"/>
        <item t="default"/>
      </items>
    </pivotField>
    <pivotField compact="0" outline="0" showAll="0"/>
    <pivotField compact="0" outline="0" showAll="0"/>
  </pivotFields>
  <rowFields count="1">
    <field x="11"/>
  </rowFields>
  <rowItems count="10">
    <i>
      <x v="5"/>
    </i>
    <i>
      <x v="8"/>
    </i>
    <i>
      <x v="13"/>
    </i>
    <i>
      <x v="17"/>
    </i>
    <i>
      <x v="18"/>
    </i>
    <i>
      <x v="21"/>
    </i>
    <i>
      <x v="29"/>
    </i>
    <i>
      <x v="30"/>
    </i>
    <i>
      <x v="34"/>
    </i>
    <i>
      <x v="35"/>
    </i>
  </rowItems>
  <colItems count="1">
    <i/>
  </colItems>
  <formats count="4">
    <format dxfId="43">
      <pivotArea field="12" type="button" dataOnly="0" labelOnly="1" outline="0"/>
    </format>
    <format dxfId="44">
      <pivotArea field="13" type="button" dataOnly="0" labelOnly="1" outline="0"/>
    </format>
    <format dxfId="45">
      <pivotArea dataOnly="0" labelOnly="1" outline="0" fieldPosition="0">
        <references count="1">
          <reference field="11" count="1">
            <x v="19"/>
          </reference>
        </references>
      </pivotArea>
    </format>
    <format dxfId="46">
      <pivotArea dataOnly="0" labelOnly="1" outline="0" fieldPosition="0">
        <references count="1">
          <reference field="1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092C3-6D0D-4E85-BCFC-2008037F7733}" name="Tabela dinâmica9" cacheId="103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J3:J25" firstHeaderRow="1" firstDataRow="1" firstDataCol="1"/>
  <pivotFields count="18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name="Feedback de Admissão" axis="axisRow" compact="0" outline="0" showAll="0" sortType="ascending">
      <items count="42">
        <item h="1" x="0"/>
        <item x="17"/>
        <item x="20"/>
        <item x="30"/>
        <item x="14"/>
        <item x="2"/>
        <item x="36"/>
        <item x="5"/>
        <item x="9"/>
        <item x="39"/>
        <item x="27"/>
        <item x="18"/>
        <item x="32"/>
        <item x="40"/>
        <item x="6"/>
        <item x="16"/>
        <item x="21"/>
        <item x="26"/>
        <item x="4"/>
        <item x="10"/>
        <item x="38"/>
        <item x="1"/>
        <item x="33"/>
        <item x="7"/>
        <item x="22"/>
        <item x="37"/>
        <item x="24"/>
        <item x="31"/>
        <item x="13"/>
        <item x="8"/>
        <item x="25"/>
        <item x="23"/>
        <item x="34"/>
        <item x="11"/>
        <item x="35"/>
        <item x="12"/>
        <item x="28"/>
        <item x="19"/>
        <item x="15"/>
        <item x="29"/>
        <item x="3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>
      <items count="5">
        <item x="0"/>
        <item h="1" x="1"/>
        <item h="1" x="2"/>
        <item h="1" x="3"/>
        <item t="default"/>
      </items>
    </pivotField>
    <pivotField compact="0" outline="0" showAll="0"/>
    <pivotField compact="0" outline="0" showAll="0"/>
  </pivotFields>
  <rowFields count="1">
    <field x="10"/>
  </rowFields>
  <rowItems count="22">
    <i>
      <x v="1"/>
    </i>
    <i>
      <x v="2"/>
    </i>
    <i>
      <x v="4"/>
    </i>
    <i>
      <x v="5"/>
    </i>
    <i>
      <x v="7"/>
    </i>
    <i>
      <x v="8"/>
    </i>
    <i>
      <x v="11"/>
    </i>
    <i>
      <x v="14"/>
    </i>
    <i>
      <x v="15"/>
    </i>
    <i>
      <x v="16"/>
    </i>
    <i>
      <x v="18"/>
    </i>
    <i>
      <x v="19"/>
    </i>
    <i>
      <x v="21"/>
    </i>
    <i>
      <x v="23"/>
    </i>
    <i>
      <x v="24"/>
    </i>
    <i>
      <x v="28"/>
    </i>
    <i>
      <x v="29"/>
    </i>
    <i>
      <x v="33"/>
    </i>
    <i>
      <x v="35"/>
    </i>
    <i>
      <x v="37"/>
    </i>
    <i>
      <x v="38"/>
    </i>
    <i>
      <x v="40"/>
    </i>
  </rowItems>
  <colItems count="1">
    <i/>
  </colItems>
  <formats count="5">
    <format dxfId="38">
      <pivotArea field="12" type="button" dataOnly="0" labelOnly="1" outline="0"/>
    </format>
    <format dxfId="39">
      <pivotArea field="13" type="button" dataOnly="0" labelOnly="1" outline="0"/>
    </format>
    <format dxfId="40">
      <pivotArea dataOnly="0" labelOnly="1" outline="0" fieldPosition="0">
        <references count="1">
          <reference field="10" count="1">
            <x v="3"/>
          </reference>
        </references>
      </pivotArea>
    </format>
    <format dxfId="41">
      <pivotArea dataOnly="0" labelOnly="1" outline="0" fieldPosition="0">
        <references count="1">
          <reference field="10" count="1">
            <x v="5"/>
          </reference>
        </references>
      </pivotArea>
    </format>
    <format dxfId="42">
      <pivotArea dataOnly="0" labelOnly="1" outline="0" fieldPosition="0">
        <references count="1">
          <reference field="10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3B9F8-6035-44B6-BB32-6FA3D8D4E7E2}" name="Tabela dinâmica8" cacheId="103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">
  <location ref="G30:H43" firstHeaderRow="1" firstDataRow="1" firstDataCol="1"/>
  <pivotFields count="18"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16">
        <item x="14"/>
        <item x="11"/>
        <item x="8"/>
        <item x="5"/>
        <item x="13"/>
        <item x="0"/>
        <item x="10"/>
        <item x="9"/>
        <item x="2"/>
        <item x="3"/>
        <item x="12"/>
        <item x="4"/>
        <item x="6"/>
        <item x="1"/>
        <item x="7"/>
        <item t="default"/>
      </items>
    </pivotField>
    <pivotField compact="0" outline="0" showAll="0"/>
    <pivotField compact="0" outline="0" showAll="0">
      <items count="10">
        <item x="1"/>
        <item x="3"/>
        <item x="6"/>
        <item x="4"/>
        <item x="2"/>
        <item x="5"/>
        <item x="7"/>
        <item x="0"/>
        <item x="8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h="1" x="0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2"/>
        <item x="9"/>
        <item x="1"/>
        <item x="5"/>
        <item x="4"/>
        <item x="8"/>
        <item x="0"/>
        <item x="3"/>
        <item x="11"/>
        <item x="7"/>
        <item x="10"/>
        <item x="6"/>
        <item t="default"/>
      </items>
    </pivotField>
    <pivotField compact="0" outline="0" showAll="0">
      <items count="5">
        <item x="0"/>
        <item h="1" x="1"/>
        <item h="1" x="2"/>
        <item h="1" x="3"/>
        <item t="default"/>
      </items>
    </pivotField>
    <pivotField compact="0" outline="0" showAll="0"/>
    <pivotField compact="0" outline="0" showAll="0"/>
  </pivotFields>
  <rowFields count="1"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</rowItems>
  <colItems count="1">
    <i/>
  </colItems>
  <dataFields count="1">
    <dataField name="Contagem de Nome_completo" fld="1" subtotal="count" baseField="0" baseItem="0"/>
  </dataFields>
  <formats count="3">
    <format dxfId="35">
      <pivotArea field="12" type="button" dataOnly="0" labelOnly="1" outline="0"/>
    </format>
    <format dxfId="36">
      <pivotArea outline="0" collapsedLevelsAreSubtotals="1" fieldPosition="0"/>
    </format>
    <format dxfId="3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9B033-B0F5-4F74-957C-E7D00A3767FD}" name="Tabela dinâmica7" cacheId="103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">
  <location ref="G18:H26" firstHeaderRow="1" firstDataRow="1" firstDataCol="1"/>
  <pivotFields count="18"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3"/>
        <item x="6"/>
        <item x="4"/>
        <item x="2"/>
        <item x="5"/>
        <item x="7"/>
        <item x="0"/>
        <item x="8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h="1" x="0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2"/>
        <item x="9"/>
        <item x="1"/>
        <item x="5"/>
        <item x="4"/>
        <item x="8"/>
        <item x="0"/>
        <item x="3"/>
        <item x="11"/>
        <item x="7"/>
        <item x="10"/>
        <item x="6"/>
        <item t="default"/>
      </items>
    </pivotField>
    <pivotField compact="0" outline="0" showAll="0">
      <items count="5">
        <item x="0"/>
        <item h="1" x="1"/>
        <item h="1" x="2"/>
        <item h="1" x="3"/>
        <item t="default"/>
      </items>
    </pivotField>
    <pivotField compact="0" outline="0" showAll="0"/>
    <pivotField compact="0" outline="0"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Contagem de Nome_completo" fld="1" subtotal="count" baseField="0" baseItem="0"/>
  </dataFields>
  <formats count="3">
    <format dxfId="32">
      <pivotArea field="12" type="button" dataOnly="0" labelOnly="1" outline="0"/>
    </format>
    <format dxfId="33">
      <pivotArea outline="0" collapsedLevelsAreSubtotals="1" fieldPosition="0"/>
    </format>
    <format dxfId="3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C752F-FF78-4270-8709-322295994EC0}" name="Tabela dinâmica6" cacheId="103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">
  <location ref="G3:H15" firstHeaderRow="1" firstDataRow="1" firstDataCol="1"/>
  <pivotFields count="18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2"/>
        <item x="9"/>
        <item x="1"/>
        <item x="5"/>
        <item x="4"/>
        <item x="8"/>
        <item x="0"/>
        <item x="3"/>
        <item x="11"/>
        <item x="7"/>
        <item x="10"/>
        <item x="6"/>
        <item t="default"/>
      </items>
    </pivotField>
    <pivotField compact="0" outline="0" showAll="0">
      <items count="5">
        <item x="0"/>
        <item h="1" x="1"/>
        <item h="1" x="2"/>
        <item h="1" x="3"/>
        <item t="default"/>
      </items>
    </pivotField>
    <pivotField compact="0" outline="0" showAll="0"/>
    <pivotField compact="0" outline="0" showAll="0"/>
  </pivotFields>
  <rowFields count="1">
    <field x="1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oma de Salário_Atual" fld="6" baseField="0" baseItem="0" numFmtId="44"/>
  </dataFields>
  <formats count="4">
    <format dxfId="28">
      <pivotArea field="12" type="button" dataOnly="0" labelOnly="1" outline="0"/>
    </format>
    <format dxfId="29">
      <pivotArea dataOnly="0" labelOnly="1" outline="0" axis="axisValues" fieldPosition="0"/>
    </format>
    <format dxfId="30">
      <pivotArea outline="0" collapsedLevelsAreSubtotals="1" fieldPosition="0"/>
    </format>
    <format dxfId="31">
      <pivotArea outline="0" fieldPosition="0">
        <references count="1">
          <reference field="13" count="1" selected="0">
            <x v="1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088014-E095-4DB3-865A-00A8309CD43D}" name="Tabela dinâmica5" cacheId="103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">
  <location ref="D18:E26" firstHeaderRow="1" firstDataRow="1" firstDataCol="1"/>
  <pivotFields count="18"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13">
        <item x="2"/>
        <item x="9"/>
        <item x="1"/>
        <item x="5"/>
        <item x="4"/>
        <item x="8"/>
        <item x="0"/>
        <item x="3"/>
        <item x="11"/>
        <item x="7"/>
        <item x="10"/>
        <item x="6"/>
        <item t="default"/>
      </items>
    </pivotField>
    <pivotField compact="0" outline="0" showAll="0">
      <items count="5">
        <item x="0"/>
        <item h="1" x="1"/>
        <item h="1" x="2"/>
        <item h="1" x="3"/>
        <item t="default"/>
      </items>
    </pivotField>
    <pivotField compact="0" outline="0" showAll="0"/>
    <pivotField compact="0" outline="0" showAll="0"/>
  </pivotFields>
  <rowFields count="1">
    <field x="14"/>
  </rowFields>
  <rowItems count="8">
    <i>
      <x/>
    </i>
    <i>
      <x v="2"/>
    </i>
    <i>
      <x v="3"/>
    </i>
    <i>
      <x v="4"/>
    </i>
    <i>
      <x v="6"/>
    </i>
    <i>
      <x v="7"/>
    </i>
    <i>
      <x v="9"/>
    </i>
    <i>
      <x v="11"/>
    </i>
  </rowItems>
  <colItems count="1">
    <i/>
  </colItems>
  <dataFields count="1">
    <dataField name="Contagem de Nome_completo" fld="1" subtotal="count" baseField="0" baseItem="0"/>
  </dataFields>
  <formats count="1">
    <format dxfId="27">
      <pivotArea field="12" type="button" dataOnly="0" labelOnly="1" outline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D0192-8E92-4463-AF59-3D5E2626B3B5}" name="Tabela dinâmica4" cacheId="103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">
  <location ref="D3:E15" firstHeaderRow="1" firstDataRow="1" firstDataCol="1"/>
  <pivotFields count="18"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>
      <items count="5">
        <item x="0"/>
        <item h="1" x="1"/>
        <item h="1" x="2"/>
        <item h="1" x="3"/>
        <item t="default"/>
      </items>
    </pivotField>
    <pivotField compact="0" outline="0" showAll="0"/>
    <pivotField compact="0" outline="0" showAll="0"/>
  </pivotFields>
  <rowFields count="1">
    <field x="1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Contagem de Nome_completo" fld="1" subtotal="count" baseField="0" baseItem="0"/>
  </dataFields>
  <formats count="3">
    <format dxfId="24">
      <pivotArea field="12" type="button" dataOnly="0" labelOnly="1" outline="0"/>
    </format>
    <format dxfId="25">
      <pivotArea outline="0" fieldPosition="0">
        <references count="1">
          <reference field="13" count="1" selected="0">
            <x v="1"/>
          </reference>
        </references>
      </pivotArea>
    </format>
    <format dxfId="26">
      <pivotArea dataOnly="0" labelOnly="1" outline="0" fieldPosition="0">
        <references count="1">
          <reference field="13" count="1">
            <x v="6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2FE1B-29E2-4D3F-84AB-AAA2DB1BD5AC}" name="Tabela dinâmica2" cacheId="103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8:B10" firstHeaderRow="1" firstDataRow="1" firstDataCol="1"/>
  <pivotFields count="18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5">
        <item x="0"/>
        <item h="1" x="1"/>
        <item h="1" x="2"/>
        <item h="1" x="3"/>
        <item t="default"/>
      </items>
    </pivotField>
    <pivotField compact="0" outline="0" showAll="0"/>
    <pivotField compact="0" outline="0" showAll="0"/>
  </pivotFields>
  <rowFields count="1">
    <field x="12"/>
  </rowFields>
  <rowItems count="2">
    <i>
      <x/>
    </i>
    <i>
      <x v="1"/>
    </i>
  </rowItems>
  <colItems count="1">
    <i/>
  </colItems>
  <dataFields count="1">
    <dataField name="Soma de Salário_Atual" fld="6" baseField="0" baseItem="0" numFmtId="44"/>
  </dataFields>
  <formats count="3">
    <format dxfId="21">
      <pivotArea field="12" type="button" dataOnly="0" labelOnly="1" outline="0" axis="axisRow" fieldPosition="0"/>
    </format>
    <format dxfId="22">
      <pivotArea outline="0" collapsedLevelsAreSubtotals="1" fieldPosition="0"/>
    </format>
    <format dxfId="23">
      <pivotArea outline="0" fieldPosition="0">
        <references count="1">
          <reference field="12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F92EE-FF81-4952-A47F-AE19B6CFD857}" name="Tabela dinâmica1" cacheId="103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B5" firstHeaderRow="1" firstDataRow="1" firstDataCol="1"/>
  <pivotFields count="18"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5">
        <item x="0"/>
        <item h="1" x="1"/>
        <item h="1" x="2"/>
        <item h="1" x="3"/>
        <item t="default"/>
      </items>
    </pivotField>
    <pivotField compact="0" outline="0" showAll="0"/>
    <pivotField compact="0" outline="0" showAll="0"/>
  </pivotFields>
  <rowFields count="1">
    <field x="12"/>
  </rowFields>
  <rowItems count="2">
    <i>
      <x/>
    </i>
    <i>
      <x v="1"/>
    </i>
  </rowItems>
  <colItems count="1">
    <i/>
  </colItems>
  <dataFields count="1">
    <dataField name="Contagem de Nome_completo" fld="1" subtotal="count" baseField="0" baseItem="0"/>
  </dataFields>
  <formats count="1">
    <format dxfId="20">
      <pivotArea field="1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Admissao" xr10:uid="{B9B2BD94-0C87-4760-81F8-4883531BEC5D}" sourceName="Ano_Admissao">
  <pivotTables>
    <pivotTable tabId="4" name="Tabela dinâmica4"/>
    <pivotTable tabId="4" name="Tabela dinâmica1"/>
    <pivotTable tabId="4" name="Tabela dinâmica2"/>
    <pivotTable tabId="4" name="Tabela dinâmica5"/>
    <pivotTable tabId="4" name="Tabela dinâmica6"/>
    <pivotTable tabId="4" name="Tabela dinâmica7"/>
    <pivotTable tabId="4" name="Tabela dinâmica8"/>
    <pivotTable tabId="4" name="Tabela dinâmica9"/>
    <pivotTable tabId="4" name="Tabela dinâmica10"/>
    <pivotTable tabId="5" name="Tabela dinâmica11"/>
    <pivotTable tabId="5" name="Tabela dinâmica12"/>
    <pivotTable tabId="5" name="Tabela dinâmica13"/>
    <pivotTable tabId="5" name="Tabela dinâmica14"/>
    <pivotTable tabId="5" name="Tabela dinâmica15"/>
    <pivotTable tabId="5" name="Tabela dinâmica16"/>
    <pivotTable tabId="5" name="Tabela dinâmica17"/>
    <pivotTable tabId="5" name="Tabela dinâmica18"/>
    <pivotTable tabId="5" name="Tabela dinâmica19"/>
    <pivotTable tabId="4" name="Tabela dinâmica20"/>
    <pivotTable tabId="4" name="Tabela dinâmica21"/>
  </pivotTables>
  <data>
    <tabular pivotCacheId="320673485">
      <items count="4">
        <i x="0" s="1"/>
        <i x="1"/>
        <i x="2"/>
        <i x="3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Inativo_Ativo" xr10:uid="{2D1D0817-19F0-4015-8056-19DA74228930}" sourceName="Status_Inativo_Ativo">
  <pivotTables>
    <pivotTable tabId="4" name="Tabela dinâmica8"/>
    <pivotTable tabId="4" name="Tabela dinâmica7"/>
    <pivotTable tabId="5" name="Tabela dinâmica14"/>
    <pivotTable tabId="5" name="Tabela dinâmica13"/>
  </pivotTables>
  <data>
    <tabular pivotCacheId="320673485">
      <items count="2">
        <i x="1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_Admissao" xr10:uid="{38638863-F136-4552-92CD-949E6AD4166F}" cache="SegmentaçãodeDados_Ano_Admissao" caption="Ano_Admissao" columnCount="2" showCaption="0" style="SlicerStyleLight3" rowHeight="819150"/>
  <slicer name="Status_Inativo_Ativo" xr10:uid="{B1F044C5-00FE-4798-828F-57BAA812493E}" cache="SegmentaçãodeDados_Status_Inativo_Ativo" caption="Status_Inativo_Ativo" showCaption="0" style="SlicerStyleLight6" rowHeight="733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0A212-F9D3-4D0A-B559-1BCED35ABF32}" name="Tabela1" displayName="Tabela1" ref="A1:R351" totalsRowShown="0" headerRowDxfId="19" dataDxfId="18">
  <autoFilter ref="A1:R351" xr:uid="{5A40A212-F9D3-4D0A-B559-1BCED35ABF32}"/>
  <tableColumns count="18">
    <tableColumn id="1" xr3:uid="{5EB144D7-9D09-43BB-8E17-9D06381A7423}" name="ID" dataDxfId="17"/>
    <tableColumn id="2" xr3:uid="{DEB06AC2-5308-418C-B93A-077CFB23FFD9}" name="Nome_completo" dataDxfId="16"/>
    <tableColumn id="3" xr3:uid="{4E80EF24-27B0-4E43-9AB7-BDF4FE4F20F7}" name="Data_Nascimento" dataDxfId="15"/>
    <tableColumn id="4" xr3:uid="{5E4CA66A-7DAE-44D6-9D4E-ECE068A8FAAA}" name="Nacionalidade" dataDxfId="14"/>
    <tableColumn id="5" xr3:uid="{AB77BE51-A9D5-4E4B-9A8F-1BFE9F772926}" name="Matricula" dataDxfId="13"/>
    <tableColumn id="6" xr3:uid="{B966635C-2563-4F03-9D21-ACD32C9EEB5C}" name="Cargo" dataDxfId="12"/>
    <tableColumn id="7" xr3:uid="{EB3F7218-FECF-4F60-8B0B-CF9F2C89ECC9}" name="Salário_Atual" dataDxfId="11"/>
    <tableColumn id="8" xr3:uid="{3A020AB4-CB94-4808-A9FB-AB46C8113663}" name="Gestor_Direto" dataDxfId="10"/>
    <tableColumn id="9" xr3:uid="{90969422-FC8B-404D-8605-D721266AF9D9}" name="Data_Admissão" dataDxfId="9"/>
    <tableColumn id="10" xr3:uid="{E7719D4C-4CA5-4423-81F4-069B5C943BE0}" name="Data_Desligamento" dataDxfId="8"/>
    <tableColumn id="11" xr3:uid="{95450390-3497-4E28-AE5E-D79E25F30444}" name="Feedback_Primeiro_Dia" dataDxfId="7"/>
    <tableColumn id="12" xr3:uid="{79FD1DAF-4F71-4089-9F1A-9101F34B0288}" name="Feedback_Desligamento" dataDxfId="6"/>
    <tableColumn id="13" xr3:uid="{24548D64-4312-4F44-ABDF-7FB98D6CFCE8}" name="Status_Inativo_Ativo" dataDxfId="5">
      <calculatedColumnFormula>IF(Tabela1[[#This Row],[Data_Desligamento]]="","ATIVO","INATIVO")</calculatedColumnFormula>
    </tableColumn>
    <tableColumn id="14" xr3:uid="{CB21B4EC-2B44-44AA-9525-945ED8D10E1E}" name="Mes_Admissao" dataDxfId="4">
      <calculatedColumnFormula>TEXT(Tabela1[[#This Row],[Data_Admissão]],"mmm")</calculatedColumnFormula>
    </tableColumn>
    <tableColumn id="15" xr3:uid="{8B93525F-AEBB-4245-8B1D-405ADF76059D}" name="Mes_Desligamento" dataDxfId="3">
      <calculatedColumnFormula>TEXT(Tabela1[[#This Row],[Data_Desligamento]],"mmm")</calculatedColumnFormula>
    </tableColumn>
    <tableColumn id="17" xr3:uid="{5B8C44AA-D4F8-42B5-B0E1-75CFAFFBE6DD}" name="Ano_Admissao" dataDxfId="2">
      <calculatedColumnFormula>YEAR(Tabela1[[#This Row],[Data_Admissão]])</calculatedColumnFormula>
    </tableColumn>
    <tableColumn id="18" xr3:uid="{495C9A1F-8C91-4E36-98D7-CF53707D4CC1}" name="Ano_Desligamento" dataDxfId="1">
      <calculatedColumnFormula>IF(Tabela1[[#This Row],[Data_Desligamento]]="", "", YEAR(Tabela1[[#This Row],[Data_Desligamento]]))</calculatedColumnFormula>
    </tableColumn>
    <tableColumn id="19" xr3:uid="{FE499752-B6A2-4F03-9A96-FF5FD9AD0AEA}" name="Coluna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7.xml"/><Relationship Id="rId13" Type="http://schemas.microsoft.com/office/2007/relationships/slicer" Target="../slicers/slicer1.xml"/><Relationship Id="rId3" Type="http://schemas.openxmlformats.org/officeDocument/2006/relationships/pivotTable" Target="../pivotTables/pivotTable12.xml"/><Relationship Id="rId7" Type="http://schemas.openxmlformats.org/officeDocument/2006/relationships/pivotTable" Target="../pivotTables/pivotTable16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11" Type="http://schemas.openxmlformats.org/officeDocument/2006/relationships/pivotTable" Target="../pivotTables/pivotTable20.xml"/><Relationship Id="rId5" Type="http://schemas.openxmlformats.org/officeDocument/2006/relationships/pivotTable" Target="../pivotTables/pivotTable14.xml"/><Relationship Id="rId10" Type="http://schemas.openxmlformats.org/officeDocument/2006/relationships/pivotTable" Target="../pivotTables/pivotTable19.xml"/><Relationship Id="rId4" Type="http://schemas.openxmlformats.org/officeDocument/2006/relationships/pivotTable" Target="../pivotTables/pivotTable13.xml"/><Relationship Id="rId9" Type="http://schemas.openxmlformats.org/officeDocument/2006/relationships/pivotTable" Target="../pivotTables/pivot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6479-A4C4-4986-BA0C-38CA6BAA1A0D}">
  <dimension ref="A1:R351"/>
  <sheetViews>
    <sheetView topLeftCell="P1" workbookViewId="0">
      <selection activeCell="B1" sqref="B1"/>
    </sheetView>
  </sheetViews>
  <sheetFormatPr defaultRowHeight="15"/>
  <cols>
    <col min="1" max="1" width="5.28515625" style="1" bestFit="1" customWidth="1"/>
    <col min="2" max="3" width="19.42578125" style="1" bestFit="1" customWidth="1"/>
    <col min="4" max="4" width="16.28515625" style="1" bestFit="1" customWidth="1"/>
    <col min="5" max="5" width="12" style="1" bestFit="1" customWidth="1"/>
    <col min="6" max="6" width="23.85546875" style="1" bestFit="1" customWidth="1"/>
    <col min="7" max="7" width="15.28515625" style="10" bestFit="1" customWidth="1"/>
    <col min="8" max="8" width="16.140625" style="1" bestFit="1" customWidth="1"/>
    <col min="9" max="9" width="17.42578125" style="1" bestFit="1" customWidth="1"/>
    <col min="10" max="10" width="21.28515625" style="2" bestFit="1" customWidth="1"/>
    <col min="11" max="11" width="61.7109375" style="1" bestFit="1" customWidth="1"/>
    <col min="12" max="12" width="74.7109375" style="1" bestFit="1" customWidth="1"/>
    <col min="13" max="13" width="22.42578125" style="1" bestFit="1" customWidth="1"/>
    <col min="14" max="14" width="17.140625" style="14" bestFit="1" customWidth="1"/>
    <col min="15" max="15" width="20.85546875" style="14" bestFit="1" customWidth="1"/>
    <col min="16" max="16" width="16.85546875" style="1" bestFit="1" customWidth="1"/>
    <col min="17" max="17" width="20.7109375" style="1" bestFit="1" customWidth="1"/>
    <col min="18" max="16384" width="9.140625" style="1"/>
  </cols>
  <sheetData>
    <row r="1" spans="1:18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4" t="s">
        <v>17</v>
      </c>
    </row>
    <row r="2" spans="1:18">
      <c r="A2" s="4">
        <v>1</v>
      </c>
      <c r="B2" s="1" t="s">
        <v>18</v>
      </c>
      <c r="C2" s="3">
        <v>32350</v>
      </c>
      <c r="D2" s="1" t="s">
        <v>19</v>
      </c>
      <c r="E2" s="1">
        <v>1273</v>
      </c>
      <c r="F2" s="1" t="s">
        <v>20</v>
      </c>
      <c r="G2" s="10">
        <v>3718</v>
      </c>
      <c r="H2" s="1" t="s">
        <v>21</v>
      </c>
      <c r="I2" s="2">
        <v>44936</v>
      </c>
      <c r="J2" s="2">
        <v>45120</v>
      </c>
      <c r="K2" s="1" t="s">
        <v>22</v>
      </c>
      <c r="L2" s="1" t="s">
        <v>23</v>
      </c>
      <c r="M2" s="14" t="str">
        <f>IF(Tabela1[[#This Row],[Data_Desligamento]]="","ATIVO","INATIVO")</f>
        <v>INATIVO</v>
      </c>
      <c r="N2" s="14" t="str">
        <f>TEXT(Tabela1[[#This Row],[Data_Admissão]],"mmm")</f>
        <v>jan</v>
      </c>
      <c r="O2" s="14" t="str">
        <f>TEXT(Tabela1[[#This Row],[Data_Desligamento]],"mmm")</f>
        <v>jul</v>
      </c>
      <c r="P2" s="17">
        <f>YEAR(Tabela1[[#This Row],[Data_Admissão]])</f>
        <v>2023</v>
      </c>
      <c r="Q2" s="17">
        <f>IF(Tabela1[[#This Row],[Data_Desligamento]]="", "", YEAR(Tabela1[[#This Row],[Data_Desligamento]]))</f>
        <v>2023</v>
      </c>
      <c r="R2" s="17"/>
    </row>
    <row r="3" spans="1:18">
      <c r="A3" s="1">
        <v>2</v>
      </c>
      <c r="B3" s="1" t="s">
        <v>24</v>
      </c>
      <c r="C3" s="2">
        <v>32591</v>
      </c>
      <c r="D3" s="1" t="s">
        <v>19</v>
      </c>
      <c r="E3" s="1">
        <v>1145</v>
      </c>
      <c r="F3" s="1" t="s">
        <v>25</v>
      </c>
      <c r="G3" s="10">
        <v>3344</v>
      </c>
      <c r="H3" s="1" t="s">
        <v>26</v>
      </c>
      <c r="I3" s="2">
        <v>44942</v>
      </c>
      <c r="J3" s="2">
        <v>45011</v>
      </c>
      <c r="K3" s="1" t="s">
        <v>27</v>
      </c>
      <c r="L3" s="1" t="s">
        <v>28</v>
      </c>
      <c r="M3" s="15" t="str">
        <f>IF(Tabela1[[#This Row],[Data_Desligamento]]="","ATIVO","INATIVO")</f>
        <v>INATIVO</v>
      </c>
      <c r="N3" s="14" t="str">
        <f>TEXT(Tabela1[[#This Row],[Data_Admissão]],"mmm")</f>
        <v>jan</v>
      </c>
      <c r="O3" s="14" t="str">
        <f>TEXT(Tabela1[[#This Row],[Data_Desligamento]],"mmm")</f>
        <v>mar</v>
      </c>
      <c r="P3" s="17">
        <f>YEAR(Tabela1[[#This Row],[Data_Admissão]])</f>
        <v>2023</v>
      </c>
      <c r="Q3" s="17">
        <f>IF(Tabela1[[#This Row],[Data_Desligamento]]="", "", YEAR(Tabela1[[#This Row],[Data_Desligamento]]))</f>
        <v>2023</v>
      </c>
      <c r="R3" s="17"/>
    </row>
    <row r="4" spans="1:18">
      <c r="A4" s="1">
        <v>3</v>
      </c>
      <c r="B4" s="1" t="s">
        <v>29</v>
      </c>
      <c r="C4" s="2">
        <v>33684</v>
      </c>
      <c r="D4" s="1" t="s">
        <v>19</v>
      </c>
      <c r="E4" s="1">
        <v>1035</v>
      </c>
      <c r="F4" s="1" t="s">
        <v>30</v>
      </c>
      <c r="G4" s="10">
        <v>10439</v>
      </c>
      <c r="H4" s="1" t="s">
        <v>31</v>
      </c>
      <c r="I4" s="2">
        <v>44944</v>
      </c>
      <c r="K4" s="1" t="s">
        <v>22</v>
      </c>
      <c r="L4" s="1" t="s">
        <v>22</v>
      </c>
      <c r="M4" s="14" t="str">
        <f>IF(Tabela1[[#This Row],[Data_Desligamento]]="","ATIVO","INATIVO")</f>
        <v>ATIVO</v>
      </c>
      <c r="N4" s="14" t="str">
        <f>TEXT(Tabela1[[#This Row],[Data_Admissão]],"mmm")</f>
        <v>jan</v>
      </c>
      <c r="O4" s="14" t="str">
        <f>TEXT(Tabela1[[#This Row],[Data_Desligamento]],"mmm")</f>
        <v>jan</v>
      </c>
      <c r="P4" s="17">
        <f>YEAR(Tabela1[[#This Row],[Data_Admissão]])</f>
        <v>2023</v>
      </c>
      <c r="Q4" s="17" t="str">
        <f>IF(Tabela1[[#This Row],[Data_Desligamento]]="", "", YEAR(Tabela1[[#This Row],[Data_Desligamento]]))</f>
        <v/>
      </c>
      <c r="R4" s="17"/>
    </row>
    <row r="5" spans="1:18">
      <c r="A5" s="1">
        <v>4</v>
      </c>
      <c r="B5" s="1" t="s">
        <v>32</v>
      </c>
      <c r="C5" s="2">
        <v>25992</v>
      </c>
      <c r="D5" s="1" t="s">
        <v>19</v>
      </c>
      <c r="E5" s="1">
        <v>1238</v>
      </c>
      <c r="F5" s="1" t="s">
        <v>33</v>
      </c>
      <c r="G5" s="10">
        <v>5604</v>
      </c>
      <c r="H5" s="1" t="s">
        <v>34</v>
      </c>
      <c r="I5" s="3">
        <v>44945</v>
      </c>
      <c r="J5" s="2">
        <v>45490</v>
      </c>
      <c r="K5" s="1" t="s">
        <v>22</v>
      </c>
      <c r="L5" s="1" t="s">
        <v>22</v>
      </c>
      <c r="M5" s="14" t="str">
        <f>IF(Tabela1[[#This Row],[Data_Desligamento]]="","ATIVO","INATIVO")</f>
        <v>INATIVO</v>
      </c>
      <c r="N5" s="15" t="str">
        <f>TEXT(Tabela1[[#This Row],[Data_Admissão]],"mmm")</f>
        <v>jan</v>
      </c>
      <c r="O5" s="14" t="str">
        <f>TEXT(Tabela1[[#This Row],[Data_Desligamento]],"mmm")</f>
        <v>jul</v>
      </c>
      <c r="P5" s="17">
        <f>YEAR(Tabela1[[#This Row],[Data_Admissão]])</f>
        <v>2023</v>
      </c>
      <c r="Q5" s="17">
        <f>IF(Tabela1[[#This Row],[Data_Desligamento]]="", "", YEAR(Tabela1[[#This Row],[Data_Desligamento]]))</f>
        <v>2024</v>
      </c>
      <c r="R5" s="17"/>
    </row>
    <row r="6" spans="1:18">
      <c r="A6" s="1">
        <v>5</v>
      </c>
      <c r="B6" s="1" t="s">
        <v>35</v>
      </c>
      <c r="C6" s="2">
        <v>27565</v>
      </c>
      <c r="D6" s="1" t="s">
        <v>19</v>
      </c>
      <c r="E6" s="1">
        <v>1302</v>
      </c>
      <c r="F6" s="1" t="s">
        <v>33</v>
      </c>
      <c r="G6" s="10">
        <v>5817</v>
      </c>
      <c r="H6" s="1" t="s">
        <v>34</v>
      </c>
      <c r="I6" s="2">
        <v>44953</v>
      </c>
      <c r="K6" s="1" t="s">
        <v>36</v>
      </c>
      <c r="L6" s="1" t="s">
        <v>22</v>
      </c>
      <c r="M6" s="14" t="str">
        <f>IF(Tabela1[[#This Row],[Data_Desligamento]]="","ATIVO","INATIVO")</f>
        <v>ATIVO</v>
      </c>
      <c r="N6" s="14" t="str">
        <f>TEXT(Tabela1[[#This Row],[Data_Admissão]],"mmm")</f>
        <v>jan</v>
      </c>
      <c r="O6" s="14" t="str">
        <f>TEXT(Tabela1[[#This Row],[Data_Desligamento]],"mmm")</f>
        <v>jan</v>
      </c>
      <c r="P6" s="17">
        <f>YEAR(Tabela1[[#This Row],[Data_Admissão]])</f>
        <v>2023</v>
      </c>
      <c r="Q6" s="17" t="str">
        <f>IF(Tabela1[[#This Row],[Data_Desligamento]]="", "", YEAR(Tabela1[[#This Row],[Data_Desligamento]]))</f>
        <v/>
      </c>
      <c r="R6" s="17"/>
    </row>
    <row r="7" spans="1:18">
      <c r="A7" s="1">
        <v>6</v>
      </c>
      <c r="B7" s="1" t="s">
        <v>37</v>
      </c>
      <c r="C7" s="2">
        <v>25609</v>
      </c>
      <c r="D7" s="1" t="s">
        <v>19</v>
      </c>
      <c r="E7" s="1">
        <v>1304</v>
      </c>
      <c r="F7" s="1" t="s">
        <v>38</v>
      </c>
      <c r="G7" s="10">
        <v>14869</v>
      </c>
      <c r="H7" s="1" t="s">
        <v>39</v>
      </c>
      <c r="I7" s="2">
        <v>44960</v>
      </c>
      <c r="K7" s="1" t="s">
        <v>22</v>
      </c>
      <c r="L7" s="1" t="s">
        <v>22</v>
      </c>
      <c r="M7" s="14" t="str">
        <f>IF(Tabela1[[#This Row],[Data_Desligamento]]="","ATIVO","INATIVO")</f>
        <v>ATIVO</v>
      </c>
      <c r="N7" s="14" t="str">
        <f>TEXT(Tabela1[[#This Row],[Data_Admissão]],"mmm")</f>
        <v>fev</v>
      </c>
      <c r="O7" s="14" t="str">
        <f>TEXT(Tabela1[[#This Row],[Data_Desligamento]],"mmm")</f>
        <v>jan</v>
      </c>
      <c r="P7" s="17">
        <f>YEAR(Tabela1[[#This Row],[Data_Admissão]])</f>
        <v>2023</v>
      </c>
      <c r="Q7" s="17" t="str">
        <f>IF(Tabela1[[#This Row],[Data_Desligamento]]="", "", YEAR(Tabela1[[#This Row],[Data_Desligamento]]))</f>
        <v/>
      </c>
      <c r="R7" s="17"/>
    </row>
    <row r="8" spans="1:18">
      <c r="A8" s="1">
        <v>7</v>
      </c>
      <c r="B8" s="1" t="s">
        <v>40</v>
      </c>
      <c r="C8" s="2">
        <v>32811</v>
      </c>
      <c r="D8" s="1" t="s">
        <v>19</v>
      </c>
      <c r="E8" s="1">
        <v>1081</v>
      </c>
      <c r="F8" s="1" t="s">
        <v>33</v>
      </c>
      <c r="G8" s="10">
        <v>5449</v>
      </c>
      <c r="H8" s="1" t="s">
        <v>34</v>
      </c>
      <c r="I8" s="2">
        <v>44984</v>
      </c>
      <c r="J8" s="2">
        <v>45168</v>
      </c>
      <c r="K8" s="1" t="s">
        <v>22</v>
      </c>
      <c r="L8" s="1" t="s">
        <v>41</v>
      </c>
      <c r="M8" s="14" t="str">
        <f>IF(Tabela1[[#This Row],[Data_Desligamento]]="","ATIVO","INATIVO")</f>
        <v>INATIVO</v>
      </c>
      <c r="N8" s="14" t="str">
        <f>TEXT(Tabela1[[#This Row],[Data_Admissão]],"mmm")</f>
        <v>fev</v>
      </c>
      <c r="O8" s="14" t="str">
        <f>TEXT(Tabela1[[#This Row],[Data_Desligamento]],"mmm")</f>
        <v>ago</v>
      </c>
      <c r="P8" s="17">
        <f>YEAR(Tabela1[[#This Row],[Data_Admissão]])</f>
        <v>2023</v>
      </c>
      <c r="Q8" s="17">
        <f>IF(Tabela1[[#This Row],[Data_Desligamento]]="", "", YEAR(Tabela1[[#This Row],[Data_Desligamento]]))</f>
        <v>2023</v>
      </c>
      <c r="R8" s="17"/>
    </row>
    <row r="9" spans="1:18">
      <c r="A9" s="1">
        <v>8</v>
      </c>
      <c r="B9" s="1" t="s">
        <v>42</v>
      </c>
      <c r="C9" s="2">
        <v>26466</v>
      </c>
      <c r="D9" s="1" t="s">
        <v>19</v>
      </c>
      <c r="E9" s="1">
        <v>1049</v>
      </c>
      <c r="F9" s="1" t="s">
        <v>33</v>
      </c>
      <c r="G9" s="10">
        <v>4065</v>
      </c>
      <c r="H9" s="1" t="s">
        <v>34</v>
      </c>
      <c r="I9" s="2">
        <v>44989</v>
      </c>
      <c r="K9" s="1" t="s">
        <v>22</v>
      </c>
      <c r="L9" s="1" t="s">
        <v>22</v>
      </c>
      <c r="M9" s="14" t="str">
        <f>IF(Tabela1[[#This Row],[Data_Desligamento]]="","ATIVO","INATIVO")</f>
        <v>ATIVO</v>
      </c>
      <c r="N9" s="14" t="str">
        <f>TEXT(Tabela1[[#This Row],[Data_Admissão]],"mmm")</f>
        <v>mar</v>
      </c>
      <c r="O9" s="14" t="str">
        <f>TEXT(Tabela1[[#This Row],[Data_Desligamento]],"mmm")</f>
        <v>jan</v>
      </c>
      <c r="P9" s="17">
        <f>YEAR(Tabela1[[#This Row],[Data_Admissão]])</f>
        <v>2023</v>
      </c>
      <c r="Q9" s="17" t="str">
        <f>IF(Tabela1[[#This Row],[Data_Desligamento]]="", "", YEAR(Tabela1[[#This Row],[Data_Desligamento]]))</f>
        <v/>
      </c>
      <c r="R9" s="17"/>
    </row>
    <row r="10" spans="1:18">
      <c r="A10" s="1">
        <v>9</v>
      </c>
      <c r="B10" s="1" t="s">
        <v>43</v>
      </c>
      <c r="C10" s="2">
        <v>27877</v>
      </c>
      <c r="D10" s="1" t="s">
        <v>19</v>
      </c>
      <c r="E10" s="1">
        <v>1075</v>
      </c>
      <c r="F10" s="1" t="s">
        <v>44</v>
      </c>
      <c r="G10" s="10">
        <v>6646</v>
      </c>
      <c r="H10" s="1" t="s">
        <v>45</v>
      </c>
      <c r="I10" s="2">
        <v>44989</v>
      </c>
      <c r="K10" s="1" t="s">
        <v>46</v>
      </c>
      <c r="L10" s="1" t="s">
        <v>22</v>
      </c>
      <c r="M10" s="14" t="str">
        <f>IF(Tabela1[[#This Row],[Data_Desligamento]]="","ATIVO","INATIVO")</f>
        <v>ATIVO</v>
      </c>
      <c r="N10" s="14" t="str">
        <f>TEXT(Tabela1[[#This Row],[Data_Admissão]],"mmm")</f>
        <v>mar</v>
      </c>
      <c r="O10" s="14" t="str">
        <f>TEXT(Tabela1[[#This Row],[Data_Desligamento]],"mmm")</f>
        <v>jan</v>
      </c>
      <c r="P10" s="17">
        <f>YEAR(Tabela1[[#This Row],[Data_Admissão]])</f>
        <v>2023</v>
      </c>
      <c r="Q10" s="17" t="str">
        <f>IF(Tabela1[[#This Row],[Data_Desligamento]]="", "", YEAR(Tabela1[[#This Row],[Data_Desligamento]]))</f>
        <v/>
      </c>
      <c r="R10" s="17"/>
    </row>
    <row r="11" spans="1:18">
      <c r="A11" s="1">
        <v>10</v>
      </c>
      <c r="B11" s="1" t="s">
        <v>47</v>
      </c>
      <c r="C11" s="2">
        <v>27534</v>
      </c>
      <c r="D11" s="1" t="s">
        <v>19</v>
      </c>
      <c r="E11" s="1">
        <v>1271</v>
      </c>
      <c r="F11" s="1" t="s">
        <v>48</v>
      </c>
      <c r="G11" s="10">
        <v>3519</v>
      </c>
      <c r="H11" s="1" t="s">
        <v>26</v>
      </c>
      <c r="I11" s="2">
        <v>44990</v>
      </c>
      <c r="J11" s="2">
        <v>45052</v>
      </c>
      <c r="K11" s="1" t="s">
        <v>49</v>
      </c>
      <c r="L11" s="1" t="s">
        <v>50</v>
      </c>
      <c r="M11" s="14" t="str">
        <f>IF(Tabela1[[#This Row],[Data_Desligamento]]="","ATIVO","INATIVO")</f>
        <v>INATIVO</v>
      </c>
      <c r="N11" s="14" t="str">
        <f>TEXT(Tabela1[[#This Row],[Data_Admissão]],"mmm")</f>
        <v>mar</v>
      </c>
      <c r="O11" s="14" t="str">
        <f>TEXT(Tabela1[[#This Row],[Data_Desligamento]],"mmm")</f>
        <v>mai</v>
      </c>
      <c r="P11" s="17">
        <f>YEAR(Tabela1[[#This Row],[Data_Admissão]])</f>
        <v>2023</v>
      </c>
      <c r="Q11" s="17">
        <f>IF(Tabela1[[#This Row],[Data_Desligamento]]="", "", YEAR(Tabela1[[#This Row],[Data_Desligamento]]))</f>
        <v>2023</v>
      </c>
      <c r="R11" s="17"/>
    </row>
    <row r="12" spans="1:18">
      <c r="A12" s="1">
        <v>11</v>
      </c>
      <c r="B12" s="1" t="s">
        <v>51</v>
      </c>
      <c r="C12" s="2">
        <v>28043</v>
      </c>
      <c r="D12" s="1" t="s">
        <v>19</v>
      </c>
      <c r="E12" s="1">
        <v>1257</v>
      </c>
      <c r="F12" s="1" t="s">
        <v>33</v>
      </c>
      <c r="G12" s="10">
        <v>5067</v>
      </c>
      <c r="H12" s="1" t="s">
        <v>34</v>
      </c>
      <c r="I12" s="2">
        <v>45001</v>
      </c>
      <c r="K12" s="1" t="s">
        <v>22</v>
      </c>
      <c r="L12" s="1" t="s">
        <v>22</v>
      </c>
      <c r="M12" s="14" t="str">
        <f>IF(Tabela1[[#This Row],[Data_Desligamento]]="","ATIVO","INATIVO")</f>
        <v>ATIVO</v>
      </c>
      <c r="N12" s="14" t="str">
        <f>TEXT(Tabela1[[#This Row],[Data_Admissão]],"mmm")</f>
        <v>mar</v>
      </c>
      <c r="O12" s="14" t="str">
        <f>TEXT(Tabela1[[#This Row],[Data_Desligamento]],"mmm")</f>
        <v>jan</v>
      </c>
      <c r="P12" s="17">
        <f>YEAR(Tabela1[[#This Row],[Data_Admissão]])</f>
        <v>2023</v>
      </c>
      <c r="Q12" s="17" t="str">
        <f>IF(Tabela1[[#This Row],[Data_Desligamento]]="", "", YEAR(Tabela1[[#This Row],[Data_Desligamento]]))</f>
        <v/>
      </c>
      <c r="R12" s="17"/>
    </row>
    <row r="13" spans="1:18">
      <c r="A13" s="1">
        <v>12</v>
      </c>
      <c r="B13" s="1" t="s">
        <v>52</v>
      </c>
      <c r="C13" s="2">
        <v>25741</v>
      </c>
      <c r="D13" s="1" t="s">
        <v>19</v>
      </c>
      <c r="E13" s="1">
        <v>1086</v>
      </c>
      <c r="F13" s="1" t="s">
        <v>53</v>
      </c>
      <c r="G13" s="10">
        <v>4291</v>
      </c>
      <c r="H13" s="1" t="s">
        <v>54</v>
      </c>
      <c r="I13" s="2">
        <v>45003</v>
      </c>
      <c r="K13" s="1" t="s">
        <v>55</v>
      </c>
      <c r="L13" s="1" t="s">
        <v>22</v>
      </c>
      <c r="M13" s="14" t="str">
        <f>IF(Tabela1[[#This Row],[Data_Desligamento]]="","ATIVO","INATIVO")</f>
        <v>ATIVO</v>
      </c>
      <c r="N13" s="14" t="str">
        <f>TEXT(Tabela1[[#This Row],[Data_Admissão]],"mmm")</f>
        <v>mar</v>
      </c>
      <c r="O13" s="14" t="str">
        <f>TEXT(Tabela1[[#This Row],[Data_Desligamento]],"mmm")</f>
        <v>jan</v>
      </c>
      <c r="P13" s="17">
        <f>YEAR(Tabela1[[#This Row],[Data_Admissão]])</f>
        <v>2023</v>
      </c>
      <c r="Q13" s="17" t="str">
        <f>IF(Tabela1[[#This Row],[Data_Desligamento]]="", "", YEAR(Tabela1[[#This Row],[Data_Desligamento]]))</f>
        <v/>
      </c>
      <c r="R13" s="17"/>
    </row>
    <row r="14" spans="1:18">
      <c r="A14" s="1">
        <v>13</v>
      </c>
      <c r="B14" s="1" t="s">
        <v>56</v>
      </c>
      <c r="C14" s="2">
        <v>31451</v>
      </c>
      <c r="D14" s="1" t="s">
        <v>19</v>
      </c>
      <c r="E14" s="1">
        <v>1106</v>
      </c>
      <c r="F14" s="1" t="s">
        <v>48</v>
      </c>
      <c r="G14" s="10">
        <v>3599</v>
      </c>
      <c r="H14" s="1" t="s">
        <v>26</v>
      </c>
      <c r="I14" s="2">
        <v>45005</v>
      </c>
      <c r="K14" s="1" t="s">
        <v>22</v>
      </c>
      <c r="L14" s="1" t="s">
        <v>22</v>
      </c>
      <c r="M14" s="14" t="str">
        <f>IF(Tabela1[[#This Row],[Data_Desligamento]]="","ATIVO","INATIVO")</f>
        <v>ATIVO</v>
      </c>
      <c r="N14" s="14" t="str">
        <f>TEXT(Tabela1[[#This Row],[Data_Admissão]],"mmm")</f>
        <v>mar</v>
      </c>
      <c r="O14" s="14" t="str">
        <f>TEXT(Tabela1[[#This Row],[Data_Desligamento]],"mmm")</f>
        <v>jan</v>
      </c>
      <c r="P14" s="17">
        <f>YEAR(Tabela1[[#This Row],[Data_Admissão]])</f>
        <v>2023</v>
      </c>
      <c r="Q14" s="17" t="str">
        <f>IF(Tabela1[[#This Row],[Data_Desligamento]]="", "", YEAR(Tabela1[[#This Row],[Data_Desligamento]]))</f>
        <v/>
      </c>
      <c r="R14" s="17"/>
    </row>
    <row r="15" spans="1:18">
      <c r="A15" s="1">
        <v>14</v>
      </c>
      <c r="B15" s="1" t="s">
        <v>34</v>
      </c>
      <c r="C15" s="2">
        <v>30415</v>
      </c>
      <c r="D15" s="1" t="s">
        <v>19</v>
      </c>
      <c r="E15" s="1">
        <v>1283</v>
      </c>
      <c r="F15" s="1" t="s">
        <v>57</v>
      </c>
      <c r="G15" s="10">
        <v>6920</v>
      </c>
      <c r="H15" s="1" t="s">
        <v>34</v>
      </c>
      <c r="I15" s="2">
        <v>45024</v>
      </c>
      <c r="K15" s="1" t="s">
        <v>58</v>
      </c>
      <c r="L15" s="1" t="s">
        <v>22</v>
      </c>
      <c r="M15" s="14" t="str">
        <f>IF(Tabela1[[#This Row],[Data_Desligamento]]="","ATIVO","INATIVO")</f>
        <v>ATIVO</v>
      </c>
      <c r="N15" s="14" t="str">
        <f>TEXT(Tabela1[[#This Row],[Data_Admissão]],"mmm")</f>
        <v>abr</v>
      </c>
      <c r="O15" s="14" t="str">
        <f>TEXT(Tabela1[[#This Row],[Data_Desligamento]],"mmm")</f>
        <v>jan</v>
      </c>
      <c r="P15" s="17">
        <f>YEAR(Tabela1[[#This Row],[Data_Admissão]])</f>
        <v>2023</v>
      </c>
      <c r="Q15" s="17" t="str">
        <f>IF(Tabela1[[#This Row],[Data_Desligamento]]="", "", YEAR(Tabela1[[#This Row],[Data_Desligamento]]))</f>
        <v/>
      </c>
      <c r="R15" s="17"/>
    </row>
    <row r="16" spans="1:18">
      <c r="A16" s="1">
        <v>15</v>
      </c>
      <c r="B16" s="1" t="s">
        <v>59</v>
      </c>
      <c r="C16" s="2">
        <v>26738</v>
      </c>
      <c r="D16" s="1" t="s">
        <v>19</v>
      </c>
      <c r="E16" s="1">
        <v>1224</v>
      </c>
      <c r="F16" s="1" t="s">
        <v>30</v>
      </c>
      <c r="G16" s="10">
        <v>9728</v>
      </c>
      <c r="H16" s="1" t="s">
        <v>31</v>
      </c>
      <c r="I16" s="2">
        <v>45050</v>
      </c>
      <c r="K16" s="1" t="s">
        <v>60</v>
      </c>
      <c r="L16" s="1" t="s">
        <v>22</v>
      </c>
      <c r="M16" s="14" t="str">
        <f>IF(Tabela1[[#This Row],[Data_Desligamento]]="","ATIVO","INATIVO")</f>
        <v>ATIVO</v>
      </c>
      <c r="N16" s="14" t="str">
        <f>TEXT(Tabela1[[#This Row],[Data_Admissão]],"mmm")</f>
        <v>mai</v>
      </c>
      <c r="O16" s="14" t="str">
        <f>TEXT(Tabela1[[#This Row],[Data_Desligamento]],"mmm")</f>
        <v>jan</v>
      </c>
      <c r="P16" s="17">
        <f>YEAR(Tabela1[[#This Row],[Data_Admissão]])</f>
        <v>2023</v>
      </c>
      <c r="Q16" s="17" t="str">
        <f>IF(Tabela1[[#This Row],[Data_Desligamento]]="", "", YEAR(Tabela1[[#This Row],[Data_Desligamento]]))</f>
        <v/>
      </c>
      <c r="R16" s="17"/>
    </row>
    <row r="17" spans="1:18">
      <c r="A17" s="1">
        <v>16</v>
      </c>
      <c r="B17" s="1" t="s">
        <v>61</v>
      </c>
      <c r="C17" s="2">
        <v>29102</v>
      </c>
      <c r="D17" s="1" t="s">
        <v>19</v>
      </c>
      <c r="E17" s="1">
        <v>1319</v>
      </c>
      <c r="F17" s="1" t="s">
        <v>57</v>
      </c>
      <c r="G17" s="10">
        <v>5661</v>
      </c>
      <c r="H17" s="1" t="s">
        <v>34</v>
      </c>
      <c r="I17" s="2">
        <v>45055</v>
      </c>
      <c r="K17" s="1" t="s">
        <v>22</v>
      </c>
      <c r="L17" s="1" t="s">
        <v>22</v>
      </c>
      <c r="M17" s="14" t="str">
        <f>IF(Tabela1[[#This Row],[Data_Desligamento]]="","ATIVO","INATIVO")</f>
        <v>ATIVO</v>
      </c>
      <c r="N17" s="14" t="str">
        <f>TEXT(Tabela1[[#This Row],[Data_Admissão]],"mmm")</f>
        <v>mai</v>
      </c>
      <c r="O17" s="14" t="str">
        <f>TEXT(Tabela1[[#This Row],[Data_Desligamento]],"mmm")</f>
        <v>jan</v>
      </c>
      <c r="P17" s="17">
        <f>YEAR(Tabela1[[#This Row],[Data_Admissão]])</f>
        <v>2023</v>
      </c>
      <c r="Q17" s="17" t="str">
        <f>IF(Tabela1[[#This Row],[Data_Desligamento]]="", "", YEAR(Tabela1[[#This Row],[Data_Desligamento]]))</f>
        <v/>
      </c>
      <c r="R17" s="17"/>
    </row>
    <row r="18" spans="1:18">
      <c r="A18" s="1">
        <v>17</v>
      </c>
      <c r="B18" s="1" t="s">
        <v>62</v>
      </c>
      <c r="C18" s="2">
        <v>28827</v>
      </c>
      <c r="D18" s="1" t="s">
        <v>19</v>
      </c>
      <c r="E18" s="1">
        <v>1256</v>
      </c>
      <c r="F18" s="1" t="s">
        <v>63</v>
      </c>
      <c r="G18" s="10">
        <v>10918</v>
      </c>
      <c r="H18" s="1" t="s">
        <v>21</v>
      </c>
      <c r="I18" s="2">
        <v>45083</v>
      </c>
      <c r="K18" s="1" t="s">
        <v>22</v>
      </c>
      <c r="L18" s="1" t="s">
        <v>22</v>
      </c>
      <c r="M18" s="14" t="str">
        <f>IF(Tabela1[[#This Row],[Data_Desligamento]]="","ATIVO","INATIVO")</f>
        <v>ATIVO</v>
      </c>
      <c r="N18" s="14" t="str">
        <f>TEXT(Tabela1[[#This Row],[Data_Admissão]],"mmm")</f>
        <v>jun</v>
      </c>
      <c r="O18" s="14" t="str">
        <f>TEXT(Tabela1[[#This Row],[Data_Desligamento]],"mmm")</f>
        <v>jan</v>
      </c>
      <c r="P18" s="17">
        <f>YEAR(Tabela1[[#This Row],[Data_Admissão]])</f>
        <v>2023</v>
      </c>
      <c r="Q18" s="17" t="str">
        <f>IF(Tabela1[[#This Row],[Data_Desligamento]]="", "", YEAR(Tabela1[[#This Row],[Data_Desligamento]]))</f>
        <v/>
      </c>
      <c r="R18" s="17"/>
    </row>
    <row r="19" spans="1:18">
      <c r="A19" s="1">
        <v>18</v>
      </c>
      <c r="B19" s="1" t="s">
        <v>64</v>
      </c>
      <c r="C19" s="2">
        <v>27999</v>
      </c>
      <c r="D19" s="1" t="s">
        <v>19</v>
      </c>
      <c r="E19" s="1">
        <v>1204</v>
      </c>
      <c r="F19" s="1" t="s">
        <v>30</v>
      </c>
      <c r="G19" s="10">
        <v>13984</v>
      </c>
      <c r="H19" s="1" t="s">
        <v>31</v>
      </c>
      <c r="I19" s="2">
        <v>45100</v>
      </c>
      <c r="K19" s="1" t="s">
        <v>65</v>
      </c>
      <c r="L19" s="1" t="s">
        <v>22</v>
      </c>
      <c r="M19" s="14" t="str">
        <f>IF(Tabela1[[#This Row],[Data_Desligamento]]="","ATIVO","INATIVO")</f>
        <v>ATIVO</v>
      </c>
      <c r="N19" s="14" t="str">
        <f>TEXT(Tabela1[[#This Row],[Data_Admissão]],"mmm")</f>
        <v>jun</v>
      </c>
      <c r="O19" s="14" t="str">
        <f>TEXT(Tabela1[[#This Row],[Data_Desligamento]],"mmm")</f>
        <v>jan</v>
      </c>
      <c r="P19" s="17">
        <f>YEAR(Tabela1[[#This Row],[Data_Admissão]])</f>
        <v>2023</v>
      </c>
      <c r="Q19" s="17" t="str">
        <f>IF(Tabela1[[#This Row],[Data_Desligamento]]="", "", YEAR(Tabela1[[#This Row],[Data_Desligamento]]))</f>
        <v/>
      </c>
      <c r="R19" s="17"/>
    </row>
    <row r="20" spans="1:18">
      <c r="A20" s="1">
        <v>19</v>
      </c>
      <c r="B20" s="1" t="s">
        <v>66</v>
      </c>
      <c r="C20" s="2">
        <v>26981</v>
      </c>
      <c r="D20" s="1" t="s">
        <v>19</v>
      </c>
      <c r="E20" s="1">
        <v>1044</v>
      </c>
      <c r="F20" s="1" t="s">
        <v>53</v>
      </c>
      <c r="G20" s="10">
        <v>4160</v>
      </c>
      <c r="H20" s="1" t="s">
        <v>54</v>
      </c>
      <c r="I20" s="2">
        <v>45100</v>
      </c>
      <c r="K20" s="1" t="s">
        <v>22</v>
      </c>
      <c r="L20" s="1" t="s">
        <v>22</v>
      </c>
      <c r="M20" s="14" t="str">
        <f>IF(Tabela1[[#This Row],[Data_Desligamento]]="","ATIVO","INATIVO")</f>
        <v>ATIVO</v>
      </c>
      <c r="N20" s="14" t="str">
        <f>TEXT(Tabela1[[#This Row],[Data_Admissão]],"mmm")</f>
        <v>jun</v>
      </c>
      <c r="O20" s="14" t="str">
        <f>TEXT(Tabela1[[#This Row],[Data_Desligamento]],"mmm")</f>
        <v>jan</v>
      </c>
      <c r="P20" s="17">
        <f>YEAR(Tabela1[[#This Row],[Data_Admissão]])</f>
        <v>2023</v>
      </c>
      <c r="Q20" s="17" t="str">
        <f>IF(Tabela1[[#This Row],[Data_Desligamento]]="", "", YEAR(Tabela1[[#This Row],[Data_Desligamento]]))</f>
        <v/>
      </c>
      <c r="R20" s="17"/>
    </row>
    <row r="21" spans="1:18">
      <c r="A21" s="1">
        <v>20</v>
      </c>
      <c r="B21" s="1" t="s">
        <v>67</v>
      </c>
      <c r="C21" s="2">
        <v>33749</v>
      </c>
      <c r="D21" s="1" t="s">
        <v>19</v>
      </c>
      <c r="E21" s="1">
        <v>1261</v>
      </c>
      <c r="F21" s="1" t="s">
        <v>68</v>
      </c>
      <c r="G21" s="10">
        <v>2295</v>
      </c>
      <c r="H21" s="1" t="s">
        <v>54</v>
      </c>
      <c r="I21" s="2">
        <v>45115</v>
      </c>
      <c r="K21" s="1" t="s">
        <v>69</v>
      </c>
      <c r="L21" s="1" t="s">
        <v>22</v>
      </c>
      <c r="M21" s="14" t="str">
        <f>IF(Tabela1[[#This Row],[Data_Desligamento]]="","ATIVO","INATIVO")</f>
        <v>ATIVO</v>
      </c>
      <c r="N21" s="14" t="str">
        <f>TEXT(Tabela1[[#This Row],[Data_Admissão]],"mmm")</f>
        <v>jul</v>
      </c>
      <c r="O21" s="14" t="str">
        <f>TEXT(Tabela1[[#This Row],[Data_Desligamento]],"mmm")</f>
        <v>jan</v>
      </c>
      <c r="P21" s="17">
        <f>YEAR(Tabela1[[#This Row],[Data_Admissão]])</f>
        <v>2023</v>
      </c>
      <c r="Q21" s="17" t="str">
        <f>IF(Tabela1[[#This Row],[Data_Desligamento]]="", "", YEAR(Tabela1[[#This Row],[Data_Desligamento]]))</f>
        <v/>
      </c>
      <c r="R21" s="17"/>
    </row>
    <row r="22" spans="1:18">
      <c r="A22" s="1">
        <v>21</v>
      </c>
      <c r="B22" s="1" t="s">
        <v>70</v>
      </c>
      <c r="C22" s="2">
        <v>31477</v>
      </c>
      <c r="D22" s="1" t="s">
        <v>19</v>
      </c>
      <c r="E22" s="1">
        <v>1105</v>
      </c>
      <c r="F22" s="1" t="s">
        <v>57</v>
      </c>
      <c r="G22" s="10">
        <v>5578</v>
      </c>
      <c r="H22" s="1" t="s">
        <v>34</v>
      </c>
      <c r="I22" s="2">
        <v>45116</v>
      </c>
      <c r="K22" s="1" t="s">
        <v>71</v>
      </c>
      <c r="L22" s="1" t="s">
        <v>22</v>
      </c>
      <c r="M22" s="14" t="str">
        <f>IF(Tabela1[[#This Row],[Data_Desligamento]]="","ATIVO","INATIVO")</f>
        <v>ATIVO</v>
      </c>
      <c r="N22" s="14" t="str">
        <f>TEXT(Tabela1[[#This Row],[Data_Admissão]],"mmm")</f>
        <v>jul</v>
      </c>
      <c r="O22" s="14" t="str">
        <f>TEXT(Tabela1[[#This Row],[Data_Desligamento]],"mmm")</f>
        <v>jan</v>
      </c>
      <c r="P22" s="17">
        <f>YEAR(Tabela1[[#This Row],[Data_Admissão]])</f>
        <v>2023</v>
      </c>
      <c r="Q22" s="17" t="str">
        <f>IF(Tabela1[[#This Row],[Data_Desligamento]]="", "", YEAR(Tabela1[[#This Row],[Data_Desligamento]]))</f>
        <v/>
      </c>
      <c r="R22" s="17"/>
    </row>
    <row r="23" spans="1:18">
      <c r="A23" s="1">
        <v>22</v>
      </c>
      <c r="B23" s="1" t="s">
        <v>72</v>
      </c>
      <c r="C23" s="2">
        <v>26899</v>
      </c>
      <c r="D23" s="1" t="s">
        <v>19</v>
      </c>
      <c r="E23" s="1">
        <v>1268</v>
      </c>
      <c r="F23" s="1" t="s">
        <v>33</v>
      </c>
      <c r="G23" s="10">
        <v>5460</v>
      </c>
      <c r="H23" s="1" t="s">
        <v>34</v>
      </c>
      <c r="I23" s="2">
        <v>45117</v>
      </c>
      <c r="J23" s="2">
        <v>45407</v>
      </c>
      <c r="K23" s="1" t="s">
        <v>73</v>
      </c>
      <c r="L23" s="1" t="s">
        <v>74</v>
      </c>
      <c r="M23" s="14" t="str">
        <f>IF(Tabela1[[#This Row],[Data_Desligamento]]="","ATIVO","INATIVO")</f>
        <v>INATIVO</v>
      </c>
      <c r="N23" s="14" t="str">
        <f>TEXT(Tabela1[[#This Row],[Data_Admissão]],"mmm")</f>
        <v>jul</v>
      </c>
      <c r="O23" s="14" t="str">
        <f>TEXT(Tabela1[[#This Row],[Data_Desligamento]],"mmm")</f>
        <v>abr</v>
      </c>
      <c r="P23" s="17">
        <f>YEAR(Tabela1[[#This Row],[Data_Admissão]])</f>
        <v>2023</v>
      </c>
      <c r="Q23" s="17">
        <f>IF(Tabela1[[#This Row],[Data_Desligamento]]="", "", YEAR(Tabela1[[#This Row],[Data_Desligamento]]))</f>
        <v>2024</v>
      </c>
      <c r="R23" s="17"/>
    </row>
    <row r="24" spans="1:18">
      <c r="A24" s="1">
        <v>23</v>
      </c>
      <c r="B24" s="1" t="s">
        <v>75</v>
      </c>
      <c r="C24" s="2">
        <v>33948</v>
      </c>
      <c r="D24" s="1" t="s">
        <v>19</v>
      </c>
      <c r="E24" s="1">
        <v>1306</v>
      </c>
      <c r="F24" s="1" t="s">
        <v>76</v>
      </c>
      <c r="G24" s="10">
        <v>5757</v>
      </c>
      <c r="H24" s="1" t="s">
        <v>77</v>
      </c>
      <c r="I24" s="2">
        <v>45121</v>
      </c>
      <c r="K24" s="1" t="s">
        <v>22</v>
      </c>
      <c r="L24" s="1" t="s">
        <v>22</v>
      </c>
      <c r="M24" s="14" t="str">
        <f>IF(Tabela1[[#This Row],[Data_Desligamento]]="","ATIVO","INATIVO")</f>
        <v>ATIVO</v>
      </c>
      <c r="N24" s="14" t="str">
        <f>TEXT(Tabela1[[#This Row],[Data_Admissão]],"mmm")</f>
        <v>jul</v>
      </c>
      <c r="O24" s="14" t="str">
        <f>TEXT(Tabela1[[#This Row],[Data_Desligamento]],"mmm")</f>
        <v>jan</v>
      </c>
      <c r="P24" s="17">
        <f>YEAR(Tabela1[[#This Row],[Data_Admissão]])</f>
        <v>2023</v>
      </c>
      <c r="Q24" s="17" t="str">
        <f>IF(Tabela1[[#This Row],[Data_Desligamento]]="", "", YEAR(Tabela1[[#This Row],[Data_Desligamento]]))</f>
        <v/>
      </c>
      <c r="R24" s="17"/>
    </row>
    <row r="25" spans="1:18">
      <c r="A25" s="1">
        <v>24</v>
      </c>
      <c r="B25" s="1" t="s">
        <v>78</v>
      </c>
      <c r="C25" s="2">
        <v>33396</v>
      </c>
      <c r="D25" s="1" t="s">
        <v>19</v>
      </c>
      <c r="E25" s="1">
        <v>1320</v>
      </c>
      <c r="F25" s="1" t="s">
        <v>25</v>
      </c>
      <c r="G25" s="10">
        <v>4241</v>
      </c>
      <c r="H25" s="1" t="s">
        <v>26</v>
      </c>
      <c r="I25" s="2">
        <v>45130</v>
      </c>
      <c r="K25" s="1" t="s">
        <v>79</v>
      </c>
      <c r="L25" s="1" t="s">
        <v>22</v>
      </c>
      <c r="M25" s="14" t="str">
        <f>IF(Tabela1[[#This Row],[Data_Desligamento]]="","ATIVO","INATIVO")</f>
        <v>ATIVO</v>
      </c>
      <c r="N25" s="14" t="str">
        <f>TEXT(Tabela1[[#This Row],[Data_Admissão]],"mmm")</f>
        <v>jul</v>
      </c>
      <c r="O25" s="14" t="str">
        <f>TEXT(Tabela1[[#This Row],[Data_Desligamento]],"mmm")</f>
        <v>jan</v>
      </c>
      <c r="P25" s="17">
        <f>YEAR(Tabela1[[#This Row],[Data_Admissão]])</f>
        <v>2023</v>
      </c>
      <c r="Q25" s="17" t="str">
        <f>IF(Tabela1[[#This Row],[Data_Desligamento]]="", "", YEAR(Tabela1[[#This Row],[Data_Desligamento]]))</f>
        <v/>
      </c>
      <c r="R25" s="17"/>
    </row>
    <row r="26" spans="1:18">
      <c r="A26" s="1">
        <v>25</v>
      </c>
      <c r="B26" s="1" t="s">
        <v>80</v>
      </c>
      <c r="C26" s="2">
        <v>34435</v>
      </c>
      <c r="D26" s="1" t="s">
        <v>19</v>
      </c>
      <c r="E26" s="1">
        <v>1004</v>
      </c>
      <c r="F26" s="1" t="s">
        <v>81</v>
      </c>
      <c r="G26" s="10">
        <v>1683</v>
      </c>
      <c r="H26" s="1" t="s">
        <v>45</v>
      </c>
      <c r="I26" s="2">
        <v>45155</v>
      </c>
      <c r="J26" s="2">
        <v>45358</v>
      </c>
      <c r="K26" s="1" t="s">
        <v>22</v>
      </c>
      <c r="L26" s="1" t="s">
        <v>82</v>
      </c>
      <c r="M26" s="14" t="str">
        <f>IF(Tabela1[[#This Row],[Data_Desligamento]]="","ATIVO","INATIVO")</f>
        <v>INATIVO</v>
      </c>
      <c r="N26" s="14" t="str">
        <f>TEXT(Tabela1[[#This Row],[Data_Admissão]],"mmm")</f>
        <v>ago</v>
      </c>
      <c r="O26" s="14" t="str">
        <f>TEXT(Tabela1[[#This Row],[Data_Desligamento]],"mmm")</f>
        <v>mar</v>
      </c>
      <c r="P26" s="17">
        <f>YEAR(Tabela1[[#This Row],[Data_Admissão]])</f>
        <v>2023</v>
      </c>
      <c r="Q26" s="17">
        <f>IF(Tabela1[[#This Row],[Data_Desligamento]]="", "", YEAR(Tabela1[[#This Row],[Data_Desligamento]]))</f>
        <v>2024</v>
      </c>
      <c r="R26" s="17"/>
    </row>
    <row r="27" spans="1:18">
      <c r="A27" s="1">
        <v>26</v>
      </c>
      <c r="B27" s="1" t="s">
        <v>83</v>
      </c>
      <c r="C27" s="2">
        <v>32428</v>
      </c>
      <c r="D27" s="1" t="s">
        <v>19</v>
      </c>
      <c r="E27" s="1">
        <v>1156</v>
      </c>
      <c r="F27" s="1" t="s">
        <v>25</v>
      </c>
      <c r="G27" s="10">
        <v>5076</v>
      </c>
      <c r="H27" s="1" t="s">
        <v>26</v>
      </c>
      <c r="I27" s="2">
        <v>45158</v>
      </c>
      <c r="J27" s="2">
        <v>45354</v>
      </c>
      <c r="K27" s="1" t="s">
        <v>22</v>
      </c>
      <c r="L27" s="1" t="s">
        <v>84</v>
      </c>
      <c r="M27" s="14" t="str">
        <f>IF(Tabela1[[#This Row],[Data_Desligamento]]="","ATIVO","INATIVO")</f>
        <v>INATIVO</v>
      </c>
      <c r="N27" s="14" t="str">
        <f>TEXT(Tabela1[[#This Row],[Data_Admissão]],"mmm")</f>
        <v>ago</v>
      </c>
      <c r="O27" s="14" t="str">
        <f>TEXT(Tabela1[[#This Row],[Data_Desligamento]],"mmm")</f>
        <v>mar</v>
      </c>
      <c r="P27" s="17">
        <f>YEAR(Tabela1[[#This Row],[Data_Admissão]])</f>
        <v>2023</v>
      </c>
      <c r="Q27" s="17">
        <f>IF(Tabela1[[#This Row],[Data_Desligamento]]="", "", YEAR(Tabela1[[#This Row],[Data_Desligamento]]))</f>
        <v>2024</v>
      </c>
      <c r="R27" s="17"/>
    </row>
    <row r="28" spans="1:18">
      <c r="A28" s="1">
        <v>27</v>
      </c>
      <c r="B28" s="1" t="s">
        <v>85</v>
      </c>
      <c r="C28" s="2">
        <v>33242</v>
      </c>
      <c r="D28" s="1" t="s">
        <v>19</v>
      </c>
      <c r="E28" s="1">
        <v>1127</v>
      </c>
      <c r="F28" s="1" t="s">
        <v>30</v>
      </c>
      <c r="G28" s="10">
        <v>11511</v>
      </c>
      <c r="H28" s="1" t="s">
        <v>31</v>
      </c>
      <c r="I28" s="2">
        <v>45178</v>
      </c>
      <c r="K28" s="1" t="s">
        <v>22</v>
      </c>
      <c r="L28" s="1" t="s">
        <v>22</v>
      </c>
      <c r="M28" s="14" t="str">
        <f>IF(Tabela1[[#This Row],[Data_Desligamento]]="","ATIVO","INATIVO")</f>
        <v>ATIVO</v>
      </c>
      <c r="N28" s="14" t="str">
        <f>TEXT(Tabela1[[#This Row],[Data_Admissão]],"mmm")</f>
        <v>set</v>
      </c>
      <c r="O28" s="14" t="str">
        <f>TEXT(Tabela1[[#This Row],[Data_Desligamento]],"mmm")</f>
        <v>jan</v>
      </c>
      <c r="P28" s="17">
        <f>YEAR(Tabela1[[#This Row],[Data_Admissão]])</f>
        <v>2023</v>
      </c>
      <c r="Q28" s="17" t="str">
        <f>IF(Tabela1[[#This Row],[Data_Desligamento]]="", "", YEAR(Tabela1[[#This Row],[Data_Desligamento]]))</f>
        <v/>
      </c>
      <c r="R28" s="17"/>
    </row>
    <row r="29" spans="1:18">
      <c r="A29" s="1">
        <v>28</v>
      </c>
      <c r="B29" s="1" t="s">
        <v>86</v>
      </c>
      <c r="C29" s="2">
        <v>34452</v>
      </c>
      <c r="D29" s="1" t="s">
        <v>19</v>
      </c>
      <c r="E29" s="1">
        <v>1350</v>
      </c>
      <c r="F29" s="1" t="s">
        <v>38</v>
      </c>
      <c r="G29" s="10">
        <v>9936</v>
      </c>
      <c r="H29" s="1" t="s">
        <v>39</v>
      </c>
      <c r="I29" s="2">
        <v>45178</v>
      </c>
      <c r="J29" s="2">
        <v>45358</v>
      </c>
      <c r="K29" s="1" t="s">
        <v>22</v>
      </c>
      <c r="L29" s="1" t="s">
        <v>87</v>
      </c>
      <c r="M29" s="14" t="str">
        <f>IF(Tabela1[[#This Row],[Data_Desligamento]]="","ATIVO","INATIVO")</f>
        <v>INATIVO</v>
      </c>
      <c r="N29" s="14" t="str">
        <f>TEXT(Tabela1[[#This Row],[Data_Admissão]],"mmm")</f>
        <v>set</v>
      </c>
      <c r="O29" s="14" t="str">
        <f>TEXT(Tabela1[[#This Row],[Data_Desligamento]],"mmm")</f>
        <v>mar</v>
      </c>
      <c r="P29" s="17">
        <f>YEAR(Tabela1[[#This Row],[Data_Admissão]])</f>
        <v>2023</v>
      </c>
      <c r="Q29" s="17">
        <f>IF(Tabela1[[#This Row],[Data_Desligamento]]="", "", YEAR(Tabela1[[#This Row],[Data_Desligamento]]))</f>
        <v>2024</v>
      </c>
      <c r="R29" s="17"/>
    </row>
    <row r="30" spans="1:18">
      <c r="A30" s="1">
        <v>29</v>
      </c>
      <c r="B30" s="1" t="s">
        <v>88</v>
      </c>
      <c r="C30" s="2">
        <v>33640</v>
      </c>
      <c r="D30" s="1" t="s">
        <v>19</v>
      </c>
      <c r="E30" s="1">
        <v>1301</v>
      </c>
      <c r="F30" s="1" t="s">
        <v>89</v>
      </c>
      <c r="G30" s="10">
        <v>3100</v>
      </c>
      <c r="H30" s="1" t="s">
        <v>77</v>
      </c>
      <c r="I30" s="2">
        <v>45183</v>
      </c>
      <c r="J30" s="2">
        <v>45268</v>
      </c>
      <c r="K30" s="1" t="s">
        <v>22</v>
      </c>
      <c r="L30" s="1" t="s">
        <v>90</v>
      </c>
      <c r="M30" s="14" t="str">
        <f>IF(Tabela1[[#This Row],[Data_Desligamento]]="","ATIVO","INATIVO")</f>
        <v>INATIVO</v>
      </c>
      <c r="N30" s="14" t="str">
        <f>TEXT(Tabela1[[#This Row],[Data_Admissão]],"mmm")</f>
        <v>set</v>
      </c>
      <c r="O30" s="14" t="str">
        <f>TEXT(Tabela1[[#This Row],[Data_Desligamento]],"mmm")</f>
        <v>dez</v>
      </c>
      <c r="P30" s="17">
        <f>YEAR(Tabela1[[#This Row],[Data_Admissão]])</f>
        <v>2023</v>
      </c>
      <c r="Q30" s="17">
        <f>IF(Tabela1[[#This Row],[Data_Desligamento]]="", "", YEAR(Tabela1[[#This Row],[Data_Desligamento]]))</f>
        <v>2023</v>
      </c>
      <c r="R30" s="17"/>
    </row>
    <row r="31" spans="1:18">
      <c r="A31" s="1">
        <v>30</v>
      </c>
      <c r="B31" s="1" t="s">
        <v>91</v>
      </c>
      <c r="C31" s="2">
        <v>30272</v>
      </c>
      <c r="D31" s="1" t="s">
        <v>19</v>
      </c>
      <c r="E31" s="1">
        <v>1197</v>
      </c>
      <c r="F31" s="1" t="s">
        <v>68</v>
      </c>
      <c r="G31" s="10">
        <v>3059</v>
      </c>
      <c r="H31" s="1" t="s">
        <v>54</v>
      </c>
      <c r="I31" s="2">
        <v>45190</v>
      </c>
      <c r="K31" s="1" t="s">
        <v>92</v>
      </c>
      <c r="L31" s="1" t="s">
        <v>22</v>
      </c>
      <c r="M31" s="14" t="str">
        <f>IF(Tabela1[[#This Row],[Data_Desligamento]]="","ATIVO","INATIVO")</f>
        <v>ATIVO</v>
      </c>
      <c r="N31" s="14" t="str">
        <f>TEXT(Tabela1[[#This Row],[Data_Admissão]],"mmm")</f>
        <v>set</v>
      </c>
      <c r="O31" s="14" t="str">
        <f>TEXT(Tabela1[[#This Row],[Data_Desligamento]],"mmm")</f>
        <v>jan</v>
      </c>
      <c r="P31" s="17">
        <f>YEAR(Tabela1[[#This Row],[Data_Admissão]])</f>
        <v>2023</v>
      </c>
      <c r="Q31" s="17" t="str">
        <f>IF(Tabela1[[#This Row],[Data_Desligamento]]="", "", YEAR(Tabela1[[#This Row],[Data_Desligamento]]))</f>
        <v/>
      </c>
      <c r="R31" s="17"/>
    </row>
    <row r="32" spans="1:18">
      <c r="A32" s="1">
        <v>31</v>
      </c>
      <c r="B32" s="1" t="s">
        <v>93</v>
      </c>
      <c r="C32" s="2">
        <v>30152</v>
      </c>
      <c r="D32" s="1" t="s">
        <v>19</v>
      </c>
      <c r="E32" s="1">
        <v>1150</v>
      </c>
      <c r="F32" s="1" t="s">
        <v>38</v>
      </c>
      <c r="G32" s="10">
        <v>12559</v>
      </c>
      <c r="H32" s="1" t="s">
        <v>39</v>
      </c>
      <c r="I32" s="2">
        <v>45195</v>
      </c>
      <c r="K32" s="1" t="s">
        <v>22</v>
      </c>
      <c r="L32" s="1" t="s">
        <v>22</v>
      </c>
      <c r="M32" s="14" t="str">
        <f>IF(Tabela1[[#This Row],[Data_Desligamento]]="","ATIVO","INATIVO")</f>
        <v>ATIVO</v>
      </c>
      <c r="N32" s="14" t="str">
        <f>TEXT(Tabela1[[#This Row],[Data_Admissão]],"mmm")</f>
        <v>set</v>
      </c>
      <c r="O32" s="14" t="str">
        <f>TEXT(Tabela1[[#This Row],[Data_Desligamento]],"mmm")</f>
        <v>jan</v>
      </c>
      <c r="P32" s="17">
        <f>YEAR(Tabela1[[#This Row],[Data_Admissão]])</f>
        <v>2023</v>
      </c>
      <c r="Q32" s="17" t="str">
        <f>IF(Tabela1[[#This Row],[Data_Desligamento]]="", "", YEAR(Tabela1[[#This Row],[Data_Desligamento]]))</f>
        <v/>
      </c>
      <c r="R32" s="17"/>
    </row>
    <row r="33" spans="1:18">
      <c r="A33" s="1">
        <v>32</v>
      </c>
      <c r="B33" s="1" t="s">
        <v>94</v>
      </c>
      <c r="C33" s="2">
        <v>33381</v>
      </c>
      <c r="D33" s="1" t="s">
        <v>19</v>
      </c>
      <c r="E33" s="1">
        <v>1166</v>
      </c>
      <c r="F33" s="1" t="s">
        <v>30</v>
      </c>
      <c r="G33" s="10">
        <v>8705</v>
      </c>
      <c r="H33" s="1" t="s">
        <v>31</v>
      </c>
      <c r="I33" s="2">
        <v>45200</v>
      </c>
      <c r="K33" s="1" t="s">
        <v>95</v>
      </c>
      <c r="L33" s="1" t="s">
        <v>22</v>
      </c>
      <c r="M33" s="14" t="str">
        <f>IF(Tabela1[[#This Row],[Data_Desligamento]]="","ATIVO","INATIVO")</f>
        <v>ATIVO</v>
      </c>
      <c r="N33" s="14" t="str">
        <f>TEXT(Tabela1[[#This Row],[Data_Admissão]],"mmm")</f>
        <v>out</v>
      </c>
      <c r="O33" s="14" t="str">
        <f>TEXT(Tabela1[[#This Row],[Data_Desligamento]],"mmm")</f>
        <v>jan</v>
      </c>
      <c r="P33" s="17">
        <f>YEAR(Tabela1[[#This Row],[Data_Admissão]])</f>
        <v>2023</v>
      </c>
      <c r="Q33" s="17" t="str">
        <f>IF(Tabela1[[#This Row],[Data_Desligamento]]="", "", YEAR(Tabela1[[#This Row],[Data_Desligamento]]))</f>
        <v/>
      </c>
      <c r="R33" s="17"/>
    </row>
    <row r="34" spans="1:18">
      <c r="A34" s="1">
        <v>33</v>
      </c>
      <c r="B34" s="1" t="s">
        <v>96</v>
      </c>
      <c r="C34" s="2">
        <v>30222</v>
      </c>
      <c r="D34" s="1" t="s">
        <v>19</v>
      </c>
      <c r="E34" s="1">
        <v>1036</v>
      </c>
      <c r="F34" s="1" t="s">
        <v>53</v>
      </c>
      <c r="G34" s="10">
        <v>4456</v>
      </c>
      <c r="H34" s="1" t="s">
        <v>54</v>
      </c>
      <c r="I34" s="2">
        <v>45208</v>
      </c>
      <c r="K34" s="1" t="s">
        <v>22</v>
      </c>
      <c r="L34" s="1" t="s">
        <v>22</v>
      </c>
      <c r="M34" s="14" t="str">
        <f>IF(Tabela1[[#This Row],[Data_Desligamento]]="","ATIVO","INATIVO")</f>
        <v>ATIVO</v>
      </c>
      <c r="N34" s="14" t="str">
        <f>TEXT(Tabela1[[#This Row],[Data_Admissão]],"mmm")</f>
        <v>out</v>
      </c>
      <c r="O34" s="14" t="str">
        <f>TEXT(Tabela1[[#This Row],[Data_Desligamento]],"mmm")</f>
        <v>jan</v>
      </c>
      <c r="P34" s="17">
        <f>YEAR(Tabela1[[#This Row],[Data_Admissão]])</f>
        <v>2023</v>
      </c>
      <c r="Q34" s="17" t="str">
        <f>IF(Tabela1[[#This Row],[Data_Desligamento]]="", "", YEAR(Tabela1[[#This Row],[Data_Desligamento]]))</f>
        <v/>
      </c>
      <c r="R34" s="17"/>
    </row>
    <row r="35" spans="1:18">
      <c r="A35" s="1">
        <v>34</v>
      </c>
      <c r="B35" s="1" t="s">
        <v>97</v>
      </c>
      <c r="C35" s="2">
        <v>26777</v>
      </c>
      <c r="D35" s="1" t="s">
        <v>19</v>
      </c>
      <c r="E35" s="1">
        <v>1178</v>
      </c>
      <c r="F35" s="1" t="s">
        <v>63</v>
      </c>
      <c r="G35" s="10">
        <v>10186</v>
      </c>
      <c r="H35" s="1" t="s">
        <v>21</v>
      </c>
      <c r="I35" s="2">
        <v>45222</v>
      </c>
      <c r="K35" s="1" t="s">
        <v>98</v>
      </c>
      <c r="L35" s="1" t="s">
        <v>22</v>
      </c>
      <c r="M35" s="14" t="str">
        <f>IF(Tabela1[[#This Row],[Data_Desligamento]]="","ATIVO","INATIVO")</f>
        <v>ATIVO</v>
      </c>
      <c r="N35" s="14" t="str">
        <f>TEXT(Tabela1[[#This Row],[Data_Admissão]],"mmm")</f>
        <v>out</v>
      </c>
      <c r="O35" s="14" t="str">
        <f>TEXT(Tabela1[[#This Row],[Data_Desligamento]],"mmm")</f>
        <v>jan</v>
      </c>
      <c r="P35" s="17">
        <f>YEAR(Tabela1[[#This Row],[Data_Admissão]])</f>
        <v>2023</v>
      </c>
      <c r="Q35" s="17" t="str">
        <f>IF(Tabela1[[#This Row],[Data_Desligamento]]="", "", YEAR(Tabela1[[#This Row],[Data_Desligamento]]))</f>
        <v/>
      </c>
      <c r="R35" s="17"/>
    </row>
    <row r="36" spans="1:18">
      <c r="A36" s="1">
        <v>35</v>
      </c>
      <c r="B36" s="1" t="s">
        <v>99</v>
      </c>
      <c r="C36" s="2">
        <v>29477</v>
      </c>
      <c r="D36" s="1" t="s">
        <v>19</v>
      </c>
      <c r="E36" s="1">
        <v>1074</v>
      </c>
      <c r="F36" s="1" t="s">
        <v>48</v>
      </c>
      <c r="G36" s="10">
        <v>5110</v>
      </c>
      <c r="H36" s="1" t="s">
        <v>26</v>
      </c>
      <c r="I36" s="2">
        <v>45230</v>
      </c>
      <c r="K36" s="1" t="s">
        <v>100</v>
      </c>
      <c r="L36" s="1" t="s">
        <v>22</v>
      </c>
      <c r="M36" s="14" t="str">
        <f>IF(Tabela1[[#This Row],[Data_Desligamento]]="","ATIVO","INATIVO")</f>
        <v>ATIVO</v>
      </c>
      <c r="N36" s="14" t="str">
        <f>TEXT(Tabela1[[#This Row],[Data_Admissão]],"mmm")</f>
        <v>out</v>
      </c>
      <c r="O36" s="14" t="str">
        <f>TEXT(Tabela1[[#This Row],[Data_Desligamento]],"mmm")</f>
        <v>jan</v>
      </c>
      <c r="P36" s="17">
        <f>YEAR(Tabela1[[#This Row],[Data_Admissão]])</f>
        <v>2023</v>
      </c>
      <c r="Q36" s="17" t="str">
        <f>IF(Tabela1[[#This Row],[Data_Desligamento]]="", "", YEAR(Tabela1[[#This Row],[Data_Desligamento]]))</f>
        <v/>
      </c>
      <c r="R36" s="17"/>
    </row>
    <row r="37" spans="1:18">
      <c r="A37" s="1">
        <v>36</v>
      </c>
      <c r="B37" s="1" t="s">
        <v>101</v>
      </c>
      <c r="C37" s="2">
        <v>29918</v>
      </c>
      <c r="D37" s="1" t="s">
        <v>19</v>
      </c>
      <c r="E37" s="1">
        <v>1169</v>
      </c>
      <c r="F37" s="1" t="s">
        <v>89</v>
      </c>
      <c r="G37" s="10">
        <v>2889</v>
      </c>
      <c r="H37" s="1" t="s">
        <v>77</v>
      </c>
      <c r="I37" s="2">
        <v>45240</v>
      </c>
      <c r="K37" s="1" t="s">
        <v>22</v>
      </c>
      <c r="L37" s="1" t="s">
        <v>22</v>
      </c>
      <c r="M37" s="14" t="str">
        <f>IF(Tabela1[[#This Row],[Data_Desligamento]]="","ATIVO","INATIVO")</f>
        <v>ATIVO</v>
      </c>
      <c r="N37" s="14" t="str">
        <f>TEXT(Tabela1[[#This Row],[Data_Admissão]],"mmm")</f>
        <v>nov</v>
      </c>
      <c r="O37" s="14" t="str">
        <f>TEXT(Tabela1[[#This Row],[Data_Desligamento]],"mmm")</f>
        <v>jan</v>
      </c>
      <c r="P37" s="17">
        <f>YEAR(Tabela1[[#This Row],[Data_Admissão]])</f>
        <v>2023</v>
      </c>
      <c r="Q37" s="17" t="str">
        <f>IF(Tabela1[[#This Row],[Data_Desligamento]]="", "", YEAR(Tabela1[[#This Row],[Data_Desligamento]]))</f>
        <v/>
      </c>
      <c r="R37" s="17"/>
    </row>
    <row r="38" spans="1:18">
      <c r="A38" s="1">
        <v>37</v>
      </c>
      <c r="B38" s="1" t="s">
        <v>102</v>
      </c>
      <c r="C38" s="2">
        <v>33226</v>
      </c>
      <c r="D38" s="1" t="s">
        <v>19</v>
      </c>
      <c r="E38" s="1">
        <v>1005</v>
      </c>
      <c r="F38" s="1" t="s">
        <v>20</v>
      </c>
      <c r="G38" s="10">
        <v>2255</v>
      </c>
      <c r="H38" s="1" t="s">
        <v>21</v>
      </c>
      <c r="I38" s="2">
        <v>45241</v>
      </c>
      <c r="K38" s="1" t="s">
        <v>103</v>
      </c>
      <c r="L38" s="1" t="s">
        <v>22</v>
      </c>
      <c r="M38" s="14" t="str">
        <f>IF(Tabela1[[#This Row],[Data_Desligamento]]="","ATIVO","INATIVO")</f>
        <v>ATIVO</v>
      </c>
      <c r="N38" s="14" t="str">
        <f>TEXT(Tabela1[[#This Row],[Data_Admissão]],"mmm")</f>
        <v>nov</v>
      </c>
      <c r="O38" s="14" t="str">
        <f>TEXT(Tabela1[[#This Row],[Data_Desligamento]],"mmm")</f>
        <v>jan</v>
      </c>
      <c r="P38" s="17">
        <f>YEAR(Tabela1[[#This Row],[Data_Admissão]])</f>
        <v>2023</v>
      </c>
      <c r="Q38" s="17" t="str">
        <f>IF(Tabela1[[#This Row],[Data_Desligamento]]="", "", YEAR(Tabela1[[#This Row],[Data_Desligamento]]))</f>
        <v/>
      </c>
      <c r="R38" s="17"/>
    </row>
    <row r="39" spans="1:18">
      <c r="A39" s="1">
        <v>38</v>
      </c>
      <c r="B39" s="1" t="s">
        <v>104</v>
      </c>
      <c r="C39" s="2">
        <v>27063</v>
      </c>
      <c r="D39" s="1" t="s">
        <v>19</v>
      </c>
      <c r="E39" s="1">
        <v>1108</v>
      </c>
      <c r="F39" s="1" t="s">
        <v>89</v>
      </c>
      <c r="G39" s="10">
        <v>2197</v>
      </c>
      <c r="H39" s="1" t="s">
        <v>77</v>
      </c>
      <c r="I39" s="2">
        <v>45261</v>
      </c>
      <c r="K39" s="1" t="s">
        <v>105</v>
      </c>
      <c r="L39" s="1" t="s">
        <v>22</v>
      </c>
      <c r="M39" s="14" t="str">
        <f>IF(Tabela1[[#This Row],[Data_Desligamento]]="","ATIVO","INATIVO")</f>
        <v>ATIVO</v>
      </c>
      <c r="N39" s="14" t="str">
        <f>TEXT(Tabela1[[#This Row],[Data_Admissão]],"mmm")</f>
        <v>dez</v>
      </c>
      <c r="O39" s="14" t="str">
        <f>TEXT(Tabela1[[#This Row],[Data_Desligamento]],"mmm")</f>
        <v>jan</v>
      </c>
      <c r="P39" s="17">
        <f>YEAR(Tabela1[[#This Row],[Data_Admissão]])</f>
        <v>2023</v>
      </c>
      <c r="Q39" s="17" t="str">
        <f>IF(Tabela1[[#This Row],[Data_Desligamento]]="", "", YEAR(Tabela1[[#This Row],[Data_Desligamento]]))</f>
        <v/>
      </c>
      <c r="R39" s="17"/>
    </row>
    <row r="40" spans="1:18">
      <c r="A40" s="1">
        <v>39</v>
      </c>
      <c r="B40" s="1" t="s">
        <v>106</v>
      </c>
      <c r="C40" s="2">
        <v>31546</v>
      </c>
      <c r="D40" s="1" t="s">
        <v>19</v>
      </c>
      <c r="E40" s="1">
        <v>1096</v>
      </c>
      <c r="F40" s="1" t="s">
        <v>89</v>
      </c>
      <c r="G40" s="10">
        <v>2669</v>
      </c>
      <c r="H40" s="1" t="s">
        <v>77</v>
      </c>
      <c r="I40" s="2">
        <v>45272</v>
      </c>
      <c r="K40" s="1" t="s">
        <v>107</v>
      </c>
      <c r="L40" s="1" t="s">
        <v>22</v>
      </c>
      <c r="M40" s="14" t="str">
        <f>IF(Tabela1[[#This Row],[Data_Desligamento]]="","ATIVO","INATIVO")</f>
        <v>ATIVO</v>
      </c>
      <c r="N40" s="14" t="str">
        <f>TEXT(Tabela1[[#This Row],[Data_Admissão]],"mmm")</f>
        <v>dez</v>
      </c>
      <c r="O40" s="14" t="str">
        <f>TEXT(Tabela1[[#This Row],[Data_Desligamento]],"mmm")</f>
        <v>jan</v>
      </c>
      <c r="P40" s="17">
        <f>YEAR(Tabela1[[#This Row],[Data_Admissão]])</f>
        <v>2023</v>
      </c>
      <c r="Q40" s="17" t="str">
        <f>IF(Tabela1[[#This Row],[Data_Desligamento]]="", "", YEAR(Tabela1[[#This Row],[Data_Desligamento]]))</f>
        <v/>
      </c>
      <c r="R40" s="17"/>
    </row>
    <row r="41" spans="1:18">
      <c r="A41" s="1">
        <v>40</v>
      </c>
      <c r="B41" s="1" t="s">
        <v>108</v>
      </c>
      <c r="C41" s="2">
        <v>25991</v>
      </c>
      <c r="D41" s="1" t="s">
        <v>19</v>
      </c>
      <c r="E41" s="1">
        <v>1062</v>
      </c>
      <c r="F41" s="1" t="s">
        <v>44</v>
      </c>
      <c r="G41" s="10">
        <v>5449</v>
      </c>
      <c r="H41" s="1" t="s">
        <v>45</v>
      </c>
      <c r="I41" s="2">
        <v>45275</v>
      </c>
      <c r="K41" s="1" t="s">
        <v>109</v>
      </c>
      <c r="L41" s="1" t="s">
        <v>22</v>
      </c>
      <c r="M41" s="14" t="str">
        <f>IF(Tabela1[[#This Row],[Data_Desligamento]]="","ATIVO","INATIVO")</f>
        <v>ATIVO</v>
      </c>
      <c r="N41" s="14" t="str">
        <f>TEXT(Tabela1[[#This Row],[Data_Admissão]],"mmm")</f>
        <v>dez</v>
      </c>
      <c r="O41" s="14" t="str">
        <f>TEXT(Tabela1[[#This Row],[Data_Desligamento]],"mmm")</f>
        <v>jan</v>
      </c>
      <c r="P41" s="17">
        <f>YEAR(Tabela1[[#This Row],[Data_Admissão]])</f>
        <v>2023</v>
      </c>
      <c r="Q41" s="17" t="str">
        <f>IF(Tabela1[[#This Row],[Data_Desligamento]]="", "", YEAR(Tabela1[[#This Row],[Data_Desligamento]]))</f>
        <v/>
      </c>
      <c r="R41" s="17"/>
    </row>
    <row r="42" spans="1:18">
      <c r="A42" s="1">
        <v>41</v>
      </c>
      <c r="B42" s="1" t="s">
        <v>110</v>
      </c>
      <c r="C42" s="2">
        <v>28231</v>
      </c>
      <c r="D42" s="1" t="s">
        <v>19</v>
      </c>
      <c r="E42" s="1">
        <v>1045</v>
      </c>
      <c r="F42" s="1" t="s">
        <v>81</v>
      </c>
      <c r="G42" s="10">
        <v>1225</v>
      </c>
      <c r="H42" s="1" t="s">
        <v>45</v>
      </c>
      <c r="I42" s="2">
        <v>45281</v>
      </c>
      <c r="J42" s="2">
        <v>45572</v>
      </c>
      <c r="K42" s="1" t="s">
        <v>22</v>
      </c>
      <c r="L42" s="1" t="s">
        <v>111</v>
      </c>
      <c r="M42" s="14" t="str">
        <f>IF(Tabela1[[#This Row],[Data_Desligamento]]="","ATIVO","INATIVO")</f>
        <v>INATIVO</v>
      </c>
      <c r="N42" s="14" t="str">
        <f>TEXT(Tabela1[[#This Row],[Data_Admissão]],"mmm")</f>
        <v>dez</v>
      </c>
      <c r="O42" s="14" t="str">
        <f>TEXT(Tabela1[[#This Row],[Data_Desligamento]],"mmm")</f>
        <v>out</v>
      </c>
      <c r="P42" s="17">
        <f>YEAR(Tabela1[[#This Row],[Data_Admissão]])</f>
        <v>2023</v>
      </c>
      <c r="Q42" s="17">
        <f>IF(Tabela1[[#This Row],[Data_Desligamento]]="", "", YEAR(Tabela1[[#This Row],[Data_Desligamento]]))</f>
        <v>2024</v>
      </c>
      <c r="R42" s="17"/>
    </row>
    <row r="43" spans="1:18">
      <c r="A43" s="1">
        <v>42</v>
      </c>
      <c r="B43" s="1" t="s">
        <v>112</v>
      </c>
      <c r="C43" s="2">
        <v>33271</v>
      </c>
      <c r="D43" s="1" t="s">
        <v>19</v>
      </c>
      <c r="E43" s="1">
        <v>1248</v>
      </c>
      <c r="F43" s="1" t="s">
        <v>68</v>
      </c>
      <c r="G43" s="10">
        <v>2564</v>
      </c>
      <c r="H43" s="1" t="s">
        <v>54</v>
      </c>
      <c r="I43" s="2">
        <v>45283</v>
      </c>
      <c r="K43" s="1" t="s">
        <v>113</v>
      </c>
      <c r="L43" s="1" t="s">
        <v>22</v>
      </c>
      <c r="M43" s="14" t="str">
        <f>IF(Tabela1[[#This Row],[Data_Desligamento]]="","ATIVO","INATIVO")</f>
        <v>ATIVO</v>
      </c>
      <c r="N43" s="14" t="str">
        <f>TEXT(Tabela1[[#This Row],[Data_Admissão]],"mmm")</f>
        <v>dez</v>
      </c>
      <c r="O43" s="14" t="str">
        <f>TEXT(Tabela1[[#This Row],[Data_Desligamento]],"mmm")</f>
        <v>jan</v>
      </c>
      <c r="P43" s="17">
        <f>YEAR(Tabela1[[#This Row],[Data_Admissão]])</f>
        <v>2023</v>
      </c>
      <c r="Q43" s="17" t="str">
        <f>IF(Tabela1[[#This Row],[Data_Desligamento]]="", "", YEAR(Tabela1[[#This Row],[Data_Desligamento]]))</f>
        <v/>
      </c>
      <c r="R43" s="17"/>
    </row>
    <row r="44" spans="1:18">
      <c r="A44" s="1">
        <v>43</v>
      </c>
      <c r="B44" s="1" t="s">
        <v>114</v>
      </c>
      <c r="C44" s="2">
        <v>31497</v>
      </c>
      <c r="D44" s="1" t="s">
        <v>19</v>
      </c>
      <c r="E44" s="1">
        <v>1033</v>
      </c>
      <c r="F44" s="1" t="s">
        <v>76</v>
      </c>
      <c r="G44" s="10">
        <v>6193</v>
      </c>
      <c r="H44" s="1" t="s">
        <v>77</v>
      </c>
      <c r="I44" s="2">
        <v>45283</v>
      </c>
      <c r="K44" s="1" t="s">
        <v>115</v>
      </c>
      <c r="L44" s="1" t="s">
        <v>22</v>
      </c>
      <c r="M44" s="14" t="str">
        <f>IF(Tabela1[[#This Row],[Data_Desligamento]]="","ATIVO","INATIVO")</f>
        <v>ATIVO</v>
      </c>
      <c r="N44" s="14" t="str">
        <f>TEXT(Tabela1[[#This Row],[Data_Admissão]],"mmm")</f>
        <v>dez</v>
      </c>
      <c r="O44" s="14" t="str">
        <f>TEXT(Tabela1[[#This Row],[Data_Desligamento]],"mmm")</f>
        <v>jan</v>
      </c>
      <c r="P44" s="17">
        <f>YEAR(Tabela1[[#This Row],[Data_Admissão]])</f>
        <v>2023</v>
      </c>
      <c r="Q44" s="17" t="str">
        <f>IF(Tabela1[[#This Row],[Data_Desligamento]]="", "", YEAR(Tabela1[[#This Row],[Data_Desligamento]]))</f>
        <v/>
      </c>
      <c r="R44" s="17"/>
    </row>
    <row r="45" spans="1:18">
      <c r="A45" s="1">
        <v>44</v>
      </c>
      <c r="B45" s="1" t="s">
        <v>116</v>
      </c>
      <c r="C45" s="2">
        <v>32739</v>
      </c>
      <c r="D45" s="1" t="s">
        <v>19</v>
      </c>
      <c r="E45" s="1">
        <v>1091</v>
      </c>
      <c r="F45" s="1" t="s">
        <v>76</v>
      </c>
      <c r="G45" s="10">
        <v>6145</v>
      </c>
      <c r="H45" s="1" t="s">
        <v>77</v>
      </c>
      <c r="I45" s="2">
        <v>45284</v>
      </c>
      <c r="K45" s="1" t="s">
        <v>22</v>
      </c>
      <c r="L45" s="1" t="s">
        <v>22</v>
      </c>
      <c r="M45" s="14" t="str">
        <f>IF(Tabela1[[#This Row],[Data_Desligamento]]="","ATIVO","INATIVO")</f>
        <v>ATIVO</v>
      </c>
      <c r="N45" s="14" t="str">
        <f>TEXT(Tabela1[[#This Row],[Data_Admissão]],"mmm")</f>
        <v>dez</v>
      </c>
      <c r="O45" s="14" t="str">
        <f>TEXT(Tabela1[[#This Row],[Data_Desligamento]],"mmm")</f>
        <v>jan</v>
      </c>
      <c r="P45" s="17">
        <f>YEAR(Tabela1[[#This Row],[Data_Admissão]])</f>
        <v>2023</v>
      </c>
      <c r="Q45" s="17" t="str">
        <f>IF(Tabela1[[#This Row],[Data_Desligamento]]="", "", YEAR(Tabela1[[#This Row],[Data_Desligamento]]))</f>
        <v/>
      </c>
      <c r="R45" s="17"/>
    </row>
    <row r="46" spans="1:18">
      <c r="A46" s="1">
        <v>45</v>
      </c>
      <c r="B46" s="1" t="s">
        <v>117</v>
      </c>
      <c r="C46" s="2">
        <v>26913</v>
      </c>
      <c r="D46" s="1" t="s">
        <v>19</v>
      </c>
      <c r="E46" s="1">
        <v>1219</v>
      </c>
      <c r="F46" s="1" t="s">
        <v>30</v>
      </c>
      <c r="G46" s="10">
        <v>7527</v>
      </c>
      <c r="H46" s="1" t="s">
        <v>31</v>
      </c>
      <c r="I46" s="2">
        <v>45296</v>
      </c>
      <c r="K46" s="1" t="s">
        <v>118</v>
      </c>
      <c r="L46" s="1" t="s">
        <v>22</v>
      </c>
      <c r="M46" s="14" t="str">
        <f>IF(Tabela1[[#This Row],[Data_Desligamento]]="","ATIVO","INATIVO")</f>
        <v>ATIVO</v>
      </c>
      <c r="N46" s="14" t="str">
        <f>TEXT(Tabela1[[#This Row],[Data_Admissão]],"mmm")</f>
        <v>jan</v>
      </c>
      <c r="O46" s="14" t="str">
        <f>TEXT(Tabela1[[#This Row],[Data_Desligamento]],"mmm")</f>
        <v>jan</v>
      </c>
      <c r="P46" s="17">
        <f>YEAR(Tabela1[[#This Row],[Data_Admissão]])</f>
        <v>2024</v>
      </c>
      <c r="Q46" s="17" t="str">
        <f>IF(Tabela1[[#This Row],[Data_Desligamento]]="", "", YEAR(Tabela1[[#This Row],[Data_Desligamento]]))</f>
        <v/>
      </c>
      <c r="R46" s="17"/>
    </row>
    <row r="47" spans="1:18">
      <c r="A47" s="1">
        <v>46</v>
      </c>
      <c r="B47" s="1" t="s">
        <v>119</v>
      </c>
      <c r="C47" s="2">
        <v>26222</v>
      </c>
      <c r="D47" s="1" t="s">
        <v>19</v>
      </c>
      <c r="E47" s="1">
        <v>1196</v>
      </c>
      <c r="F47" s="1" t="s">
        <v>33</v>
      </c>
      <c r="G47" s="10">
        <v>5931</v>
      </c>
      <c r="H47" s="1" t="s">
        <v>34</v>
      </c>
      <c r="I47" s="2">
        <v>45301</v>
      </c>
      <c r="J47" s="2">
        <v>45510</v>
      </c>
      <c r="K47" s="1" t="s">
        <v>120</v>
      </c>
      <c r="L47" s="1" t="s">
        <v>121</v>
      </c>
      <c r="M47" s="14" t="str">
        <f>IF(Tabela1[[#This Row],[Data_Desligamento]]="","ATIVO","INATIVO")</f>
        <v>INATIVO</v>
      </c>
      <c r="N47" s="14" t="str">
        <f>TEXT(Tabela1[[#This Row],[Data_Admissão]],"mmm")</f>
        <v>jan</v>
      </c>
      <c r="O47" s="14" t="str">
        <f>TEXT(Tabela1[[#This Row],[Data_Desligamento]],"mmm")</f>
        <v>ago</v>
      </c>
      <c r="P47" s="17">
        <f>YEAR(Tabela1[[#This Row],[Data_Admissão]])</f>
        <v>2024</v>
      </c>
      <c r="Q47" s="17">
        <f>IF(Tabela1[[#This Row],[Data_Desligamento]]="", "", YEAR(Tabela1[[#This Row],[Data_Desligamento]]))</f>
        <v>2024</v>
      </c>
      <c r="R47" s="17"/>
    </row>
    <row r="48" spans="1:18">
      <c r="A48" s="1">
        <v>47</v>
      </c>
      <c r="B48" s="1" t="s">
        <v>122</v>
      </c>
      <c r="C48" s="2">
        <v>33469</v>
      </c>
      <c r="D48" s="1" t="s">
        <v>19</v>
      </c>
      <c r="E48" s="1">
        <v>1007</v>
      </c>
      <c r="F48" s="1" t="s">
        <v>25</v>
      </c>
      <c r="G48" s="10">
        <v>4034</v>
      </c>
      <c r="H48" s="1" t="s">
        <v>26</v>
      </c>
      <c r="I48" s="2">
        <v>45303</v>
      </c>
      <c r="K48" s="1" t="s">
        <v>123</v>
      </c>
      <c r="L48" s="1" t="s">
        <v>22</v>
      </c>
      <c r="M48" s="14" t="str">
        <f>IF(Tabela1[[#This Row],[Data_Desligamento]]="","ATIVO","INATIVO")</f>
        <v>ATIVO</v>
      </c>
      <c r="N48" s="14" t="str">
        <f>TEXT(Tabela1[[#This Row],[Data_Admissão]],"mmm")</f>
        <v>jan</v>
      </c>
      <c r="O48" s="14" t="str">
        <f>TEXT(Tabela1[[#This Row],[Data_Desligamento]],"mmm")</f>
        <v>jan</v>
      </c>
      <c r="P48" s="17">
        <f>YEAR(Tabela1[[#This Row],[Data_Admissão]])</f>
        <v>2024</v>
      </c>
      <c r="Q48" s="17" t="str">
        <f>IF(Tabela1[[#This Row],[Data_Desligamento]]="", "", YEAR(Tabela1[[#This Row],[Data_Desligamento]]))</f>
        <v/>
      </c>
      <c r="R48" s="17"/>
    </row>
    <row r="49" spans="1:18">
      <c r="A49" s="1">
        <v>48</v>
      </c>
      <c r="B49" s="1" t="s">
        <v>124</v>
      </c>
      <c r="C49" s="2">
        <v>30629</v>
      </c>
      <c r="D49" s="1" t="s">
        <v>19</v>
      </c>
      <c r="E49" s="1">
        <v>1175</v>
      </c>
      <c r="F49" s="1" t="s">
        <v>33</v>
      </c>
      <c r="G49" s="10">
        <v>6338</v>
      </c>
      <c r="H49" s="1" t="s">
        <v>34</v>
      </c>
      <c r="I49" s="2">
        <v>45307</v>
      </c>
      <c r="K49" s="1" t="s">
        <v>125</v>
      </c>
      <c r="L49" s="1" t="s">
        <v>22</v>
      </c>
      <c r="M49" s="14" t="str">
        <f>IF(Tabela1[[#This Row],[Data_Desligamento]]="","ATIVO","INATIVO")</f>
        <v>ATIVO</v>
      </c>
      <c r="N49" s="14" t="str">
        <f>TEXT(Tabela1[[#This Row],[Data_Admissão]],"mmm")</f>
        <v>jan</v>
      </c>
      <c r="O49" s="14" t="str">
        <f>TEXT(Tabela1[[#This Row],[Data_Desligamento]],"mmm")</f>
        <v>jan</v>
      </c>
      <c r="P49" s="17">
        <f>YEAR(Tabela1[[#This Row],[Data_Admissão]])</f>
        <v>2024</v>
      </c>
      <c r="Q49" s="17" t="str">
        <f>IF(Tabela1[[#This Row],[Data_Desligamento]]="", "", YEAR(Tabela1[[#This Row],[Data_Desligamento]]))</f>
        <v/>
      </c>
      <c r="R49" s="17"/>
    </row>
    <row r="50" spans="1:18">
      <c r="A50" s="1">
        <v>49</v>
      </c>
      <c r="B50" s="1" t="s">
        <v>126</v>
      </c>
      <c r="C50" s="2">
        <v>25669</v>
      </c>
      <c r="D50" s="1" t="s">
        <v>19</v>
      </c>
      <c r="E50" s="1">
        <v>1239</v>
      </c>
      <c r="F50" s="1" t="s">
        <v>25</v>
      </c>
      <c r="G50" s="10">
        <v>4919</v>
      </c>
      <c r="H50" s="1" t="s">
        <v>26</v>
      </c>
      <c r="I50" s="2">
        <v>45317</v>
      </c>
      <c r="K50" s="1" t="s">
        <v>127</v>
      </c>
      <c r="L50" s="1" t="s">
        <v>22</v>
      </c>
      <c r="M50" s="14" t="str">
        <f>IF(Tabela1[[#This Row],[Data_Desligamento]]="","ATIVO","INATIVO")</f>
        <v>ATIVO</v>
      </c>
      <c r="N50" s="14" t="str">
        <f>TEXT(Tabela1[[#This Row],[Data_Admissão]],"mmm")</f>
        <v>jan</v>
      </c>
      <c r="O50" s="14" t="str">
        <f>TEXT(Tabela1[[#This Row],[Data_Desligamento]],"mmm")</f>
        <v>jan</v>
      </c>
      <c r="P50" s="17">
        <f>YEAR(Tabela1[[#This Row],[Data_Admissão]])</f>
        <v>2024</v>
      </c>
      <c r="Q50" s="17" t="str">
        <f>IF(Tabela1[[#This Row],[Data_Desligamento]]="", "", YEAR(Tabela1[[#This Row],[Data_Desligamento]]))</f>
        <v/>
      </c>
      <c r="R50" s="17"/>
    </row>
    <row r="51" spans="1:18">
      <c r="A51" s="1">
        <v>50</v>
      </c>
      <c r="B51" s="1" t="s">
        <v>128</v>
      </c>
      <c r="C51" s="2">
        <v>35560</v>
      </c>
      <c r="D51" s="1" t="s">
        <v>19</v>
      </c>
      <c r="E51" s="1">
        <v>1037</v>
      </c>
      <c r="F51" s="1" t="s">
        <v>63</v>
      </c>
      <c r="G51" s="10">
        <v>8817</v>
      </c>
      <c r="H51" s="1" t="s">
        <v>21</v>
      </c>
      <c r="I51" s="2">
        <v>45340</v>
      </c>
      <c r="K51" s="1" t="s">
        <v>22</v>
      </c>
      <c r="L51" s="1" t="s">
        <v>22</v>
      </c>
      <c r="M51" s="14" t="str">
        <f>IF(Tabela1[[#This Row],[Data_Desligamento]]="","ATIVO","INATIVO")</f>
        <v>ATIVO</v>
      </c>
      <c r="N51" s="14" t="str">
        <f>TEXT(Tabela1[[#This Row],[Data_Admissão]],"mmm")</f>
        <v>fev</v>
      </c>
      <c r="O51" s="14" t="str">
        <f>TEXT(Tabela1[[#This Row],[Data_Desligamento]],"mmm")</f>
        <v>jan</v>
      </c>
      <c r="P51" s="17">
        <f>YEAR(Tabela1[[#This Row],[Data_Admissão]])</f>
        <v>2024</v>
      </c>
      <c r="Q51" s="17" t="str">
        <f>IF(Tabela1[[#This Row],[Data_Desligamento]]="", "", YEAR(Tabela1[[#This Row],[Data_Desligamento]]))</f>
        <v/>
      </c>
      <c r="R51" s="17"/>
    </row>
    <row r="52" spans="1:18">
      <c r="A52" s="1">
        <v>51</v>
      </c>
      <c r="B52" s="1" t="s">
        <v>129</v>
      </c>
      <c r="C52" s="2">
        <v>27131</v>
      </c>
      <c r="D52" s="1" t="s">
        <v>19</v>
      </c>
      <c r="E52" s="1">
        <v>1094</v>
      </c>
      <c r="F52" s="1" t="s">
        <v>30</v>
      </c>
      <c r="G52" s="10">
        <v>10301</v>
      </c>
      <c r="H52" s="1" t="s">
        <v>31</v>
      </c>
      <c r="I52" s="2">
        <v>45344</v>
      </c>
      <c r="K52" s="1" t="s">
        <v>130</v>
      </c>
      <c r="L52" s="1" t="s">
        <v>22</v>
      </c>
      <c r="M52" s="14" t="str">
        <f>IF(Tabela1[[#This Row],[Data_Desligamento]]="","ATIVO","INATIVO")</f>
        <v>ATIVO</v>
      </c>
      <c r="N52" s="14" t="str">
        <f>TEXT(Tabela1[[#This Row],[Data_Admissão]],"mmm")</f>
        <v>fev</v>
      </c>
      <c r="O52" s="14" t="str">
        <f>TEXT(Tabela1[[#This Row],[Data_Desligamento]],"mmm")</f>
        <v>jan</v>
      </c>
      <c r="P52" s="17">
        <f>YEAR(Tabela1[[#This Row],[Data_Admissão]])</f>
        <v>2024</v>
      </c>
      <c r="Q52" s="17" t="str">
        <f>IF(Tabela1[[#This Row],[Data_Desligamento]]="", "", YEAR(Tabela1[[#This Row],[Data_Desligamento]]))</f>
        <v/>
      </c>
      <c r="R52" s="17"/>
    </row>
    <row r="53" spans="1:18">
      <c r="A53" s="1">
        <v>52</v>
      </c>
      <c r="B53" s="1" t="s">
        <v>131</v>
      </c>
      <c r="C53" s="2">
        <v>26030</v>
      </c>
      <c r="D53" s="1" t="s">
        <v>19</v>
      </c>
      <c r="E53" s="1">
        <v>1292</v>
      </c>
      <c r="F53" s="1" t="s">
        <v>81</v>
      </c>
      <c r="G53" s="10">
        <v>1931</v>
      </c>
      <c r="H53" s="1" t="s">
        <v>45</v>
      </c>
      <c r="I53" s="2">
        <v>45345</v>
      </c>
      <c r="K53" s="1" t="s">
        <v>22</v>
      </c>
      <c r="L53" s="1" t="s">
        <v>22</v>
      </c>
      <c r="M53" s="14" t="str">
        <f>IF(Tabela1[[#This Row],[Data_Desligamento]]="","ATIVO","INATIVO")</f>
        <v>ATIVO</v>
      </c>
      <c r="N53" s="14" t="str">
        <f>TEXT(Tabela1[[#This Row],[Data_Admissão]],"mmm")</f>
        <v>fev</v>
      </c>
      <c r="O53" s="14" t="str">
        <f>TEXT(Tabela1[[#This Row],[Data_Desligamento]],"mmm")</f>
        <v>jan</v>
      </c>
      <c r="P53" s="17">
        <f>YEAR(Tabela1[[#This Row],[Data_Admissão]])</f>
        <v>2024</v>
      </c>
      <c r="Q53" s="17" t="str">
        <f>IF(Tabela1[[#This Row],[Data_Desligamento]]="", "", YEAR(Tabela1[[#This Row],[Data_Desligamento]]))</f>
        <v/>
      </c>
      <c r="R53" s="17"/>
    </row>
    <row r="54" spans="1:18">
      <c r="A54" s="1">
        <v>53</v>
      </c>
      <c r="B54" s="1" t="s">
        <v>132</v>
      </c>
      <c r="C54" s="2">
        <v>27642</v>
      </c>
      <c r="D54" s="1" t="s">
        <v>19</v>
      </c>
      <c r="E54" s="1">
        <v>1161</v>
      </c>
      <c r="F54" s="1" t="s">
        <v>44</v>
      </c>
      <c r="G54" s="10">
        <v>5893</v>
      </c>
      <c r="H54" s="1" t="s">
        <v>45</v>
      </c>
      <c r="I54" s="2">
        <v>45348</v>
      </c>
      <c r="K54" s="1" t="s">
        <v>133</v>
      </c>
      <c r="L54" s="1" t="s">
        <v>22</v>
      </c>
      <c r="M54" s="14" t="str">
        <f>IF(Tabela1[[#This Row],[Data_Desligamento]]="","ATIVO","INATIVO")</f>
        <v>ATIVO</v>
      </c>
      <c r="N54" s="14" t="str">
        <f>TEXT(Tabela1[[#This Row],[Data_Admissão]],"mmm")</f>
        <v>fev</v>
      </c>
      <c r="O54" s="14" t="str">
        <f>TEXT(Tabela1[[#This Row],[Data_Desligamento]],"mmm")</f>
        <v>jan</v>
      </c>
      <c r="P54" s="17">
        <f>YEAR(Tabela1[[#This Row],[Data_Admissão]])</f>
        <v>2024</v>
      </c>
      <c r="Q54" s="17" t="str">
        <f>IF(Tabela1[[#This Row],[Data_Desligamento]]="", "", YEAR(Tabela1[[#This Row],[Data_Desligamento]]))</f>
        <v/>
      </c>
      <c r="R54" s="17"/>
    </row>
    <row r="55" spans="1:18">
      <c r="A55" s="1">
        <v>54</v>
      </c>
      <c r="B55" s="1" t="s">
        <v>134</v>
      </c>
      <c r="C55" s="2">
        <v>34862</v>
      </c>
      <c r="D55" s="1" t="s">
        <v>19</v>
      </c>
      <c r="E55" s="1">
        <v>1002</v>
      </c>
      <c r="F55" s="1" t="s">
        <v>20</v>
      </c>
      <c r="G55" s="10">
        <v>3590</v>
      </c>
      <c r="H55" s="1" t="s">
        <v>21</v>
      </c>
      <c r="I55" s="2">
        <v>45355</v>
      </c>
      <c r="K55" s="1" t="s">
        <v>135</v>
      </c>
      <c r="L55" s="1" t="s">
        <v>22</v>
      </c>
      <c r="M55" s="14" t="str">
        <f>IF(Tabela1[[#This Row],[Data_Desligamento]]="","ATIVO","INATIVO")</f>
        <v>ATIVO</v>
      </c>
      <c r="N55" s="14" t="str">
        <f>TEXT(Tabela1[[#This Row],[Data_Admissão]],"mmm")</f>
        <v>mar</v>
      </c>
      <c r="O55" s="14" t="str">
        <f>TEXT(Tabela1[[#This Row],[Data_Desligamento]],"mmm")</f>
        <v>jan</v>
      </c>
      <c r="P55" s="17">
        <f>YEAR(Tabela1[[#This Row],[Data_Admissão]])</f>
        <v>2024</v>
      </c>
      <c r="Q55" s="17" t="str">
        <f>IF(Tabela1[[#This Row],[Data_Desligamento]]="", "", YEAR(Tabela1[[#This Row],[Data_Desligamento]]))</f>
        <v/>
      </c>
      <c r="R55" s="17"/>
    </row>
    <row r="56" spans="1:18">
      <c r="A56" s="1">
        <v>55</v>
      </c>
      <c r="B56" s="1" t="s">
        <v>136</v>
      </c>
      <c r="C56" s="2">
        <v>34654</v>
      </c>
      <c r="D56" s="1" t="s">
        <v>19</v>
      </c>
      <c r="E56" s="1">
        <v>1172</v>
      </c>
      <c r="F56" s="1" t="s">
        <v>38</v>
      </c>
      <c r="G56" s="10">
        <v>11042</v>
      </c>
      <c r="H56" s="1" t="s">
        <v>39</v>
      </c>
      <c r="I56" s="2">
        <v>45357</v>
      </c>
      <c r="K56" s="1" t="s">
        <v>22</v>
      </c>
      <c r="L56" s="1" t="s">
        <v>22</v>
      </c>
      <c r="M56" s="14" t="str">
        <f>IF(Tabela1[[#This Row],[Data_Desligamento]]="","ATIVO","INATIVO")</f>
        <v>ATIVO</v>
      </c>
      <c r="N56" s="14" t="str">
        <f>TEXT(Tabela1[[#This Row],[Data_Admissão]],"mmm")</f>
        <v>mar</v>
      </c>
      <c r="O56" s="14" t="str">
        <f>TEXT(Tabela1[[#This Row],[Data_Desligamento]],"mmm")</f>
        <v>jan</v>
      </c>
      <c r="P56" s="17">
        <f>YEAR(Tabela1[[#This Row],[Data_Admissão]])</f>
        <v>2024</v>
      </c>
      <c r="Q56" s="17" t="str">
        <f>IF(Tabela1[[#This Row],[Data_Desligamento]]="", "", YEAR(Tabela1[[#This Row],[Data_Desligamento]]))</f>
        <v/>
      </c>
      <c r="R56" s="17"/>
    </row>
    <row r="57" spans="1:18">
      <c r="A57" s="1">
        <v>56</v>
      </c>
      <c r="B57" s="1" t="s">
        <v>137</v>
      </c>
      <c r="C57" s="2">
        <v>35028</v>
      </c>
      <c r="D57" s="1" t="s">
        <v>19</v>
      </c>
      <c r="E57" s="1">
        <v>1016</v>
      </c>
      <c r="F57" s="1" t="s">
        <v>138</v>
      </c>
      <c r="G57" s="10">
        <v>8263</v>
      </c>
      <c r="H57" s="1" t="s">
        <v>139</v>
      </c>
      <c r="I57" s="2">
        <v>45358</v>
      </c>
      <c r="K57" s="1" t="s">
        <v>140</v>
      </c>
      <c r="L57" s="1" t="s">
        <v>22</v>
      </c>
      <c r="M57" s="14" t="str">
        <f>IF(Tabela1[[#This Row],[Data_Desligamento]]="","ATIVO","INATIVO")</f>
        <v>ATIVO</v>
      </c>
      <c r="N57" s="14" t="str">
        <f>TEXT(Tabela1[[#This Row],[Data_Admissão]],"mmm")</f>
        <v>mar</v>
      </c>
      <c r="O57" s="14" t="str">
        <f>TEXT(Tabela1[[#This Row],[Data_Desligamento]],"mmm")</f>
        <v>jan</v>
      </c>
      <c r="P57" s="17">
        <f>YEAR(Tabela1[[#This Row],[Data_Admissão]])</f>
        <v>2024</v>
      </c>
      <c r="Q57" s="17" t="str">
        <f>IF(Tabela1[[#This Row],[Data_Desligamento]]="", "", YEAR(Tabela1[[#This Row],[Data_Desligamento]]))</f>
        <v/>
      </c>
      <c r="R57" s="17"/>
    </row>
    <row r="58" spans="1:18">
      <c r="A58" s="1">
        <v>57</v>
      </c>
      <c r="B58" s="1" t="s">
        <v>141</v>
      </c>
      <c r="C58" s="2">
        <v>32690</v>
      </c>
      <c r="D58" s="1" t="s">
        <v>19</v>
      </c>
      <c r="E58" s="1">
        <v>1313</v>
      </c>
      <c r="F58" s="1" t="s">
        <v>76</v>
      </c>
      <c r="G58" s="10">
        <v>8166</v>
      </c>
      <c r="H58" s="1" t="s">
        <v>77</v>
      </c>
      <c r="I58" s="2">
        <v>45361</v>
      </c>
      <c r="K58" s="1" t="s">
        <v>142</v>
      </c>
      <c r="L58" s="1" t="s">
        <v>22</v>
      </c>
      <c r="M58" s="14" t="str">
        <f>IF(Tabela1[[#This Row],[Data_Desligamento]]="","ATIVO","INATIVO")</f>
        <v>ATIVO</v>
      </c>
      <c r="N58" s="14" t="str">
        <f>TEXT(Tabela1[[#This Row],[Data_Admissão]],"mmm")</f>
        <v>mar</v>
      </c>
      <c r="O58" s="14" t="str">
        <f>TEXT(Tabela1[[#This Row],[Data_Desligamento]],"mmm")</f>
        <v>jan</v>
      </c>
      <c r="P58" s="17">
        <f>YEAR(Tabela1[[#This Row],[Data_Admissão]])</f>
        <v>2024</v>
      </c>
      <c r="Q58" s="17" t="str">
        <f>IF(Tabela1[[#This Row],[Data_Desligamento]]="", "", YEAR(Tabela1[[#This Row],[Data_Desligamento]]))</f>
        <v/>
      </c>
      <c r="R58" s="17"/>
    </row>
    <row r="59" spans="1:18">
      <c r="A59" s="1">
        <v>58</v>
      </c>
      <c r="B59" s="1" t="s">
        <v>143</v>
      </c>
      <c r="C59" s="2">
        <v>35694</v>
      </c>
      <c r="D59" s="1" t="s">
        <v>19</v>
      </c>
      <c r="E59" s="1">
        <v>1327</v>
      </c>
      <c r="F59" s="1" t="s">
        <v>20</v>
      </c>
      <c r="G59" s="10">
        <v>2515</v>
      </c>
      <c r="H59" s="1" t="s">
        <v>21</v>
      </c>
      <c r="I59" s="2">
        <v>45361</v>
      </c>
      <c r="J59" s="2">
        <v>45473</v>
      </c>
      <c r="K59" s="1" t="s">
        <v>22</v>
      </c>
      <c r="L59" s="1" t="s">
        <v>144</v>
      </c>
      <c r="M59" s="14" t="str">
        <f>IF(Tabela1[[#This Row],[Data_Desligamento]]="","ATIVO","INATIVO")</f>
        <v>INATIVO</v>
      </c>
      <c r="N59" s="14" t="str">
        <f>TEXT(Tabela1[[#This Row],[Data_Admissão]],"mmm")</f>
        <v>mar</v>
      </c>
      <c r="O59" s="14" t="str">
        <f>TEXT(Tabela1[[#This Row],[Data_Desligamento]],"mmm")</f>
        <v>jun</v>
      </c>
      <c r="P59" s="17">
        <f>YEAR(Tabela1[[#This Row],[Data_Admissão]])</f>
        <v>2024</v>
      </c>
      <c r="Q59" s="17">
        <f>IF(Tabela1[[#This Row],[Data_Desligamento]]="", "", YEAR(Tabela1[[#This Row],[Data_Desligamento]]))</f>
        <v>2024</v>
      </c>
      <c r="R59" s="17"/>
    </row>
    <row r="60" spans="1:18">
      <c r="A60" s="1">
        <v>59</v>
      </c>
      <c r="B60" s="1" t="s">
        <v>145</v>
      </c>
      <c r="C60" s="2">
        <v>32006</v>
      </c>
      <c r="D60" s="1" t="s">
        <v>19</v>
      </c>
      <c r="E60" s="1">
        <v>1032</v>
      </c>
      <c r="F60" s="1" t="s">
        <v>89</v>
      </c>
      <c r="G60" s="10">
        <v>2409</v>
      </c>
      <c r="H60" s="1" t="s">
        <v>77</v>
      </c>
      <c r="I60" s="2">
        <v>45361</v>
      </c>
      <c r="K60" s="1" t="s">
        <v>146</v>
      </c>
      <c r="L60" s="1" t="s">
        <v>22</v>
      </c>
      <c r="M60" s="14" t="str">
        <f>IF(Tabela1[[#This Row],[Data_Desligamento]]="","ATIVO","INATIVO")</f>
        <v>ATIVO</v>
      </c>
      <c r="N60" s="14" t="str">
        <f>TEXT(Tabela1[[#This Row],[Data_Admissão]],"mmm")</f>
        <v>mar</v>
      </c>
      <c r="O60" s="14" t="str">
        <f>TEXT(Tabela1[[#This Row],[Data_Desligamento]],"mmm")</f>
        <v>jan</v>
      </c>
      <c r="P60" s="17">
        <f>YEAR(Tabela1[[#This Row],[Data_Admissão]])</f>
        <v>2024</v>
      </c>
      <c r="Q60" s="17" t="str">
        <f>IF(Tabela1[[#This Row],[Data_Desligamento]]="", "", YEAR(Tabela1[[#This Row],[Data_Desligamento]]))</f>
        <v/>
      </c>
      <c r="R60" s="17"/>
    </row>
    <row r="61" spans="1:18">
      <c r="A61" s="1">
        <v>60</v>
      </c>
      <c r="B61" s="1" t="s">
        <v>147</v>
      </c>
      <c r="C61" s="2">
        <v>29902</v>
      </c>
      <c r="D61" s="1" t="s">
        <v>19</v>
      </c>
      <c r="E61" s="1">
        <v>1112</v>
      </c>
      <c r="F61" s="1" t="s">
        <v>138</v>
      </c>
      <c r="G61" s="10">
        <v>11195</v>
      </c>
      <c r="H61" s="1" t="s">
        <v>139</v>
      </c>
      <c r="I61" s="2">
        <v>45367</v>
      </c>
      <c r="J61" s="2">
        <v>45697</v>
      </c>
      <c r="K61" s="1" t="s">
        <v>148</v>
      </c>
      <c r="L61" s="1" t="s">
        <v>149</v>
      </c>
      <c r="M61" s="14" t="str">
        <f>IF(Tabela1[[#This Row],[Data_Desligamento]]="","ATIVO","INATIVO")</f>
        <v>INATIVO</v>
      </c>
      <c r="N61" s="14" t="str">
        <f>TEXT(Tabela1[[#This Row],[Data_Admissão]],"mmm")</f>
        <v>mar</v>
      </c>
      <c r="O61" s="14" t="str">
        <f>TEXT(Tabela1[[#This Row],[Data_Desligamento]],"mmm")</f>
        <v>fev</v>
      </c>
      <c r="P61" s="17">
        <f>YEAR(Tabela1[[#This Row],[Data_Admissão]])</f>
        <v>2024</v>
      </c>
      <c r="Q61" s="17">
        <f>IF(Tabela1[[#This Row],[Data_Desligamento]]="", "", YEAR(Tabela1[[#This Row],[Data_Desligamento]]))</f>
        <v>2025</v>
      </c>
      <c r="R61" s="17"/>
    </row>
    <row r="62" spans="1:18">
      <c r="A62" s="1">
        <v>61</v>
      </c>
      <c r="B62" s="1" t="s">
        <v>150</v>
      </c>
      <c r="C62" s="2">
        <v>34803</v>
      </c>
      <c r="D62" s="1" t="s">
        <v>19</v>
      </c>
      <c r="E62" s="1">
        <v>1025</v>
      </c>
      <c r="F62" s="1" t="s">
        <v>25</v>
      </c>
      <c r="G62" s="10">
        <v>2932</v>
      </c>
      <c r="H62" s="1" t="s">
        <v>26</v>
      </c>
      <c r="I62" s="2">
        <v>45368</v>
      </c>
      <c r="J62" s="2">
        <v>45567</v>
      </c>
      <c r="K62" s="1" t="s">
        <v>151</v>
      </c>
      <c r="L62" s="1" t="s">
        <v>152</v>
      </c>
      <c r="M62" s="14" t="str">
        <f>IF(Tabela1[[#This Row],[Data_Desligamento]]="","ATIVO","INATIVO")</f>
        <v>INATIVO</v>
      </c>
      <c r="N62" s="14" t="str">
        <f>TEXT(Tabela1[[#This Row],[Data_Admissão]],"mmm")</f>
        <v>mar</v>
      </c>
      <c r="O62" s="14" t="str">
        <f>TEXT(Tabela1[[#This Row],[Data_Desligamento]],"mmm")</f>
        <v>out</v>
      </c>
      <c r="P62" s="17">
        <f>YEAR(Tabela1[[#This Row],[Data_Admissão]])</f>
        <v>2024</v>
      </c>
      <c r="Q62" s="17">
        <f>IF(Tabela1[[#This Row],[Data_Desligamento]]="", "", YEAR(Tabela1[[#This Row],[Data_Desligamento]]))</f>
        <v>2024</v>
      </c>
      <c r="R62" s="17"/>
    </row>
    <row r="63" spans="1:18">
      <c r="A63" s="1">
        <v>62</v>
      </c>
      <c r="B63" s="1" t="s">
        <v>153</v>
      </c>
      <c r="C63" s="2">
        <v>32730</v>
      </c>
      <c r="D63" s="1" t="s">
        <v>19</v>
      </c>
      <c r="E63" s="1">
        <v>1314</v>
      </c>
      <c r="F63" s="1" t="s">
        <v>25</v>
      </c>
      <c r="G63" s="10">
        <v>3995</v>
      </c>
      <c r="H63" s="1" t="s">
        <v>26</v>
      </c>
      <c r="I63" s="2">
        <v>45368</v>
      </c>
      <c r="K63" s="1" t="s">
        <v>22</v>
      </c>
      <c r="L63" s="1" t="s">
        <v>22</v>
      </c>
      <c r="M63" s="14" t="str">
        <f>IF(Tabela1[[#This Row],[Data_Desligamento]]="","ATIVO","INATIVO")</f>
        <v>ATIVO</v>
      </c>
      <c r="N63" s="14" t="str">
        <f>TEXT(Tabela1[[#This Row],[Data_Admissão]],"mmm")</f>
        <v>mar</v>
      </c>
      <c r="O63" s="14" t="str">
        <f>TEXT(Tabela1[[#This Row],[Data_Desligamento]],"mmm")</f>
        <v>jan</v>
      </c>
      <c r="P63" s="17">
        <f>YEAR(Tabela1[[#This Row],[Data_Admissão]])</f>
        <v>2024</v>
      </c>
      <c r="Q63" s="17" t="str">
        <f>IF(Tabela1[[#This Row],[Data_Desligamento]]="", "", YEAR(Tabela1[[#This Row],[Data_Desligamento]]))</f>
        <v/>
      </c>
      <c r="R63" s="17"/>
    </row>
    <row r="64" spans="1:18">
      <c r="A64" s="1">
        <v>63</v>
      </c>
      <c r="B64" s="1" t="s">
        <v>154</v>
      </c>
      <c r="C64" s="2">
        <v>30841</v>
      </c>
      <c r="D64" s="1" t="s">
        <v>19</v>
      </c>
      <c r="E64" s="1">
        <v>1231</v>
      </c>
      <c r="F64" s="1" t="s">
        <v>38</v>
      </c>
      <c r="G64" s="10">
        <v>15274</v>
      </c>
      <c r="H64" s="1" t="s">
        <v>39</v>
      </c>
      <c r="I64" s="2">
        <v>45377</v>
      </c>
      <c r="K64" s="1" t="s">
        <v>22</v>
      </c>
      <c r="L64" s="1" t="s">
        <v>22</v>
      </c>
      <c r="M64" s="14" t="str">
        <f>IF(Tabela1[[#This Row],[Data_Desligamento]]="","ATIVO","INATIVO")</f>
        <v>ATIVO</v>
      </c>
      <c r="N64" s="14" t="str">
        <f>TEXT(Tabela1[[#This Row],[Data_Admissão]],"mmm")</f>
        <v>mar</v>
      </c>
      <c r="O64" s="14" t="str">
        <f>TEXT(Tabela1[[#This Row],[Data_Desligamento]],"mmm")</f>
        <v>jan</v>
      </c>
      <c r="P64" s="17">
        <f>YEAR(Tabela1[[#This Row],[Data_Admissão]])</f>
        <v>2024</v>
      </c>
      <c r="Q64" s="17" t="str">
        <f>IF(Tabela1[[#This Row],[Data_Desligamento]]="", "", YEAR(Tabela1[[#This Row],[Data_Desligamento]]))</f>
        <v/>
      </c>
      <c r="R64" s="17"/>
    </row>
    <row r="65" spans="1:18">
      <c r="A65" s="1">
        <v>64</v>
      </c>
      <c r="B65" s="1" t="s">
        <v>112</v>
      </c>
      <c r="C65" s="2">
        <v>31780</v>
      </c>
      <c r="D65" s="1" t="s">
        <v>19</v>
      </c>
      <c r="E65" s="1">
        <v>1160</v>
      </c>
      <c r="F65" s="1" t="s">
        <v>138</v>
      </c>
      <c r="G65" s="10">
        <v>9333</v>
      </c>
      <c r="H65" s="1" t="s">
        <v>139</v>
      </c>
      <c r="I65" s="2">
        <v>45380</v>
      </c>
      <c r="K65" s="1" t="s">
        <v>155</v>
      </c>
      <c r="L65" s="1" t="s">
        <v>22</v>
      </c>
      <c r="M65" s="14" t="str">
        <f>IF(Tabela1[[#This Row],[Data_Desligamento]]="","ATIVO","INATIVO")</f>
        <v>ATIVO</v>
      </c>
      <c r="N65" s="14" t="str">
        <f>TEXT(Tabela1[[#This Row],[Data_Admissão]],"mmm")</f>
        <v>mar</v>
      </c>
      <c r="O65" s="14" t="str">
        <f>TEXT(Tabela1[[#This Row],[Data_Desligamento]],"mmm")</f>
        <v>jan</v>
      </c>
      <c r="P65" s="17">
        <f>YEAR(Tabela1[[#This Row],[Data_Admissão]])</f>
        <v>2024</v>
      </c>
      <c r="Q65" s="17" t="str">
        <f>IF(Tabela1[[#This Row],[Data_Desligamento]]="", "", YEAR(Tabela1[[#This Row],[Data_Desligamento]]))</f>
        <v/>
      </c>
      <c r="R65" s="17"/>
    </row>
    <row r="66" spans="1:18">
      <c r="A66" s="1">
        <v>65</v>
      </c>
      <c r="B66" s="1" t="s">
        <v>156</v>
      </c>
      <c r="C66" s="2">
        <v>34393</v>
      </c>
      <c r="D66" s="1" t="s">
        <v>19</v>
      </c>
      <c r="E66" s="1">
        <v>1285</v>
      </c>
      <c r="F66" s="1" t="s">
        <v>81</v>
      </c>
      <c r="G66" s="10">
        <v>1912</v>
      </c>
      <c r="H66" s="1" t="s">
        <v>45</v>
      </c>
      <c r="I66" s="2">
        <v>45380</v>
      </c>
      <c r="K66" s="1" t="s">
        <v>157</v>
      </c>
      <c r="L66" s="1" t="s">
        <v>22</v>
      </c>
      <c r="M66" s="14" t="str">
        <f>IF(Tabela1[[#This Row],[Data_Desligamento]]="","ATIVO","INATIVO")</f>
        <v>ATIVO</v>
      </c>
      <c r="N66" s="14" t="str">
        <f>TEXT(Tabela1[[#This Row],[Data_Admissão]],"mmm")</f>
        <v>mar</v>
      </c>
      <c r="O66" s="14" t="str">
        <f>TEXT(Tabela1[[#This Row],[Data_Desligamento]],"mmm")</f>
        <v>jan</v>
      </c>
      <c r="P66" s="17">
        <f>YEAR(Tabela1[[#This Row],[Data_Admissão]])</f>
        <v>2024</v>
      </c>
      <c r="Q66" s="17" t="str">
        <f>IF(Tabela1[[#This Row],[Data_Desligamento]]="", "", YEAR(Tabela1[[#This Row],[Data_Desligamento]]))</f>
        <v/>
      </c>
      <c r="R66" s="17"/>
    </row>
    <row r="67" spans="1:18">
      <c r="A67" s="1">
        <v>66</v>
      </c>
      <c r="B67" s="1" t="s">
        <v>158</v>
      </c>
      <c r="C67" s="2">
        <v>30702</v>
      </c>
      <c r="D67" s="1" t="s">
        <v>19</v>
      </c>
      <c r="E67" s="1">
        <v>1072</v>
      </c>
      <c r="F67" s="1" t="s">
        <v>81</v>
      </c>
      <c r="G67" s="10">
        <v>1340</v>
      </c>
      <c r="H67" s="1" t="s">
        <v>45</v>
      </c>
      <c r="I67" s="2">
        <v>45382</v>
      </c>
      <c r="K67" s="1" t="s">
        <v>22</v>
      </c>
      <c r="L67" s="1" t="s">
        <v>22</v>
      </c>
      <c r="M67" s="14" t="str">
        <f>IF(Tabela1[[#This Row],[Data_Desligamento]]="","ATIVO","INATIVO")</f>
        <v>ATIVO</v>
      </c>
      <c r="N67" s="14" t="str">
        <f>TEXT(Tabela1[[#This Row],[Data_Admissão]],"mmm")</f>
        <v>mar</v>
      </c>
      <c r="O67" s="14" t="str">
        <f>TEXT(Tabela1[[#This Row],[Data_Desligamento]],"mmm")</f>
        <v>jan</v>
      </c>
      <c r="P67" s="17">
        <f>YEAR(Tabela1[[#This Row],[Data_Admissão]])</f>
        <v>2024</v>
      </c>
      <c r="Q67" s="17" t="str">
        <f>IF(Tabela1[[#This Row],[Data_Desligamento]]="", "", YEAR(Tabela1[[#This Row],[Data_Desligamento]]))</f>
        <v/>
      </c>
      <c r="R67" s="17"/>
    </row>
    <row r="68" spans="1:18">
      <c r="A68" s="1">
        <v>67</v>
      </c>
      <c r="B68" s="1" t="s">
        <v>159</v>
      </c>
      <c r="C68" s="2">
        <v>36308</v>
      </c>
      <c r="D68" s="1" t="s">
        <v>19</v>
      </c>
      <c r="E68" s="1">
        <v>1241</v>
      </c>
      <c r="F68" s="1" t="s">
        <v>30</v>
      </c>
      <c r="G68" s="10">
        <v>12601</v>
      </c>
      <c r="H68" s="1" t="s">
        <v>31</v>
      </c>
      <c r="I68" s="2">
        <v>45383</v>
      </c>
      <c r="K68" s="1" t="s">
        <v>22</v>
      </c>
      <c r="L68" s="1" t="s">
        <v>22</v>
      </c>
      <c r="M68" s="14" t="str">
        <f>IF(Tabela1[[#This Row],[Data_Desligamento]]="","ATIVO","INATIVO")</f>
        <v>ATIVO</v>
      </c>
      <c r="N68" s="14" t="str">
        <f>TEXT(Tabela1[[#This Row],[Data_Admissão]],"mmm")</f>
        <v>abr</v>
      </c>
      <c r="O68" s="14" t="str">
        <f>TEXT(Tabela1[[#This Row],[Data_Desligamento]],"mmm")</f>
        <v>jan</v>
      </c>
      <c r="P68" s="17">
        <f>YEAR(Tabela1[[#This Row],[Data_Admissão]])</f>
        <v>2024</v>
      </c>
      <c r="Q68" s="17" t="str">
        <f>IF(Tabela1[[#This Row],[Data_Desligamento]]="", "", YEAR(Tabela1[[#This Row],[Data_Desligamento]]))</f>
        <v/>
      </c>
      <c r="R68" s="17"/>
    </row>
    <row r="69" spans="1:18">
      <c r="A69" s="1">
        <v>68</v>
      </c>
      <c r="B69" s="1" t="s">
        <v>160</v>
      </c>
      <c r="C69" s="2">
        <v>28747</v>
      </c>
      <c r="D69" s="1" t="s">
        <v>19</v>
      </c>
      <c r="E69" s="1">
        <v>1041</v>
      </c>
      <c r="F69" s="1" t="s">
        <v>68</v>
      </c>
      <c r="G69" s="10">
        <v>2702</v>
      </c>
      <c r="H69" s="1" t="s">
        <v>54</v>
      </c>
      <c r="I69" s="2">
        <v>45384</v>
      </c>
      <c r="K69" s="1" t="s">
        <v>161</v>
      </c>
      <c r="L69" s="1" t="s">
        <v>22</v>
      </c>
      <c r="M69" s="14" t="str">
        <f>IF(Tabela1[[#This Row],[Data_Desligamento]]="","ATIVO","INATIVO")</f>
        <v>ATIVO</v>
      </c>
      <c r="N69" s="14" t="str">
        <f>TEXT(Tabela1[[#This Row],[Data_Admissão]],"mmm")</f>
        <v>abr</v>
      </c>
      <c r="O69" s="14" t="str">
        <f>TEXT(Tabela1[[#This Row],[Data_Desligamento]],"mmm")</f>
        <v>jan</v>
      </c>
      <c r="P69" s="17">
        <f>YEAR(Tabela1[[#This Row],[Data_Admissão]])</f>
        <v>2024</v>
      </c>
      <c r="Q69" s="17" t="str">
        <f>IF(Tabela1[[#This Row],[Data_Desligamento]]="", "", YEAR(Tabela1[[#This Row],[Data_Desligamento]]))</f>
        <v/>
      </c>
      <c r="R69" s="17"/>
    </row>
    <row r="70" spans="1:18">
      <c r="A70" s="1">
        <v>69</v>
      </c>
      <c r="B70" s="1" t="s">
        <v>162</v>
      </c>
      <c r="C70" s="2">
        <v>26988</v>
      </c>
      <c r="D70" s="1" t="s">
        <v>19</v>
      </c>
      <c r="E70" s="1">
        <v>1195</v>
      </c>
      <c r="F70" s="1" t="s">
        <v>81</v>
      </c>
      <c r="G70" s="10">
        <v>1449</v>
      </c>
      <c r="H70" s="1" t="s">
        <v>45</v>
      </c>
      <c r="I70" s="2">
        <v>45385</v>
      </c>
      <c r="K70" s="1" t="s">
        <v>163</v>
      </c>
      <c r="L70" s="1" t="s">
        <v>22</v>
      </c>
      <c r="M70" s="14" t="str">
        <f>IF(Tabela1[[#This Row],[Data_Desligamento]]="","ATIVO","INATIVO")</f>
        <v>ATIVO</v>
      </c>
      <c r="N70" s="14" t="str">
        <f>TEXT(Tabela1[[#This Row],[Data_Admissão]],"mmm")</f>
        <v>abr</v>
      </c>
      <c r="O70" s="14" t="str">
        <f>TEXT(Tabela1[[#This Row],[Data_Desligamento]],"mmm")</f>
        <v>jan</v>
      </c>
      <c r="P70" s="17">
        <f>YEAR(Tabela1[[#This Row],[Data_Admissão]])</f>
        <v>2024</v>
      </c>
      <c r="Q70" s="17" t="str">
        <f>IF(Tabela1[[#This Row],[Data_Desligamento]]="", "", YEAR(Tabela1[[#This Row],[Data_Desligamento]]))</f>
        <v/>
      </c>
      <c r="R70" s="17"/>
    </row>
    <row r="71" spans="1:18">
      <c r="A71" s="1">
        <v>70</v>
      </c>
      <c r="B71" s="1" t="s">
        <v>164</v>
      </c>
      <c r="C71" s="2">
        <v>30250</v>
      </c>
      <c r="D71" s="1" t="s">
        <v>19</v>
      </c>
      <c r="E71" s="1">
        <v>1138</v>
      </c>
      <c r="F71" s="1" t="s">
        <v>53</v>
      </c>
      <c r="G71" s="10">
        <v>3509</v>
      </c>
      <c r="H71" s="1" t="s">
        <v>54</v>
      </c>
      <c r="I71" s="2">
        <v>45387</v>
      </c>
      <c r="K71" s="1" t="s">
        <v>165</v>
      </c>
      <c r="L71" s="1" t="s">
        <v>22</v>
      </c>
      <c r="M71" s="14" t="str">
        <f>IF(Tabela1[[#This Row],[Data_Desligamento]]="","ATIVO","INATIVO")</f>
        <v>ATIVO</v>
      </c>
      <c r="N71" s="14" t="str">
        <f>TEXT(Tabela1[[#This Row],[Data_Admissão]],"mmm")</f>
        <v>abr</v>
      </c>
      <c r="O71" s="14" t="str">
        <f>TEXT(Tabela1[[#This Row],[Data_Desligamento]],"mmm")</f>
        <v>jan</v>
      </c>
      <c r="P71" s="17">
        <f>YEAR(Tabela1[[#This Row],[Data_Admissão]])</f>
        <v>2024</v>
      </c>
      <c r="Q71" s="17" t="str">
        <f>IF(Tabela1[[#This Row],[Data_Desligamento]]="", "", YEAR(Tabela1[[#This Row],[Data_Desligamento]]))</f>
        <v/>
      </c>
      <c r="R71" s="17"/>
    </row>
    <row r="72" spans="1:18">
      <c r="A72" s="1">
        <v>71</v>
      </c>
      <c r="B72" s="1" t="s">
        <v>166</v>
      </c>
      <c r="C72" s="2">
        <v>28327</v>
      </c>
      <c r="D72" s="1" t="s">
        <v>19</v>
      </c>
      <c r="E72" s="1">
        <v>1013</v>
      </c>
      <c r="F72" s="1" t="s">
        <v>38</v>
      </c>
      <c r="G72" s="10">
        <v>13740</v>
      </c>
      <c r="H72" s="1" t="s">
        <v>39</v>
      </c>
      <c r="I72" s="2">
        <v>45387</v>
      </c>
      <c r="K72" s="1" t="s">
        <v>22</v>
      </c>
      <c r="L72" s="1" t="s">
        <v>22</v>
      </c>
      <c r="M72" s="14" t="str">
        <f>IF(Tabela1[[#This Row],[Data_Desligamento]]="","ATIVO","INATIVO")</f>
        <v>ATIVO</v>
      </c>
      <c r="N72" s="14" t="str">
        <f>TEXT(Tabela1[[#This Row],[Data_Admissão]],"mmm")</f>
        <v>abr</v>
      </c>
      <c r="O72" s="14" t="str">
        <f>TEXT(Tabela1[[#This Row],[Data_Desligamento]],"mmm")</f>
        <v>jan</v>
      </c>
      <c r="P72" s="17">
        <f>YEAR(Tabela1[[#This Row],[Data_Admissão]])</f>
        <v>2024</v>
      </c>
      <c r="Q72" s="17" t="str">
        <f>IF(Tabela1[[#This Row],[Data_Desligamento]]="", "", YEAR(Tabela1[[#This Row],[Data_Desligamento]]))</f>
        <v/>
      </c>
      <c r="R72" s="17"/>
    </row>
    <row r="73" spans="1:18">
      <c r="A73" s="1">
        <v>72</v>
      </c>
      <c r="B73" s="1" t="s">
        <v>167</v>
      </c>
      <c r="C73" s="2">
        <v>29571</v>
      </c>
      <c r="D73" s="1" t="s">
        <v>19</v>
      </c>
      <c r="E73" s="1">
        <v>1056</v>
      </c>
      <c r="F73" s="1" t="s">
        <v>53</v>
      </c>
      <c r="G73" s="10">
        <v>3994</v>
      </c>
      <c r="H73" s="1" t="s">
        <v>54</v>
      </c>
      <c r="I73" s="2">
        <v>45398</v>
      </c>
      <c r="K73" s="1" t="s">
        <v>22</v>
      </c>
      <c r="L73" s="1" t="s">
        <v>22</v>
      </c>
      <c r="M73" s="14" t="str">
        <f>IF(Tabela1[[#This Row],[Data_Desligamento]]="","ATIVO","INATIVO")</f>
        <v>ATIVO</v>
      </c>
      <c r="N73" s="14" t="str">
        <f>TEXT(Tabela1[[#This Row],[Data_Admissão]],"mmm")</f>
        <v>abr</v>
      </c>
      <c r="O73" s="14" t="str">
        <f>TEXT(Tabela1[[#This Row],[Data_Desligamento]],"mmm")</f>
        <v>jan</v>
      </c>
      <c r="P73" s="17">
        <f>YEAR(Tabela1[[#This Row],[Data_Admissão]])</f>
        <v>2024</v>
      </c>
      <c r="Q73" s="17" t="str">
        <f>IF(Tabela1[[#This Row],[Data_Desligamento]]="", "", YEAR(Tabela1[[#This Row],[Data_Desligamento]]))</f>
        <v/>
      </c>
      <c r="R73" s="17"/>
    </row>
    <row r="74" spans="1:18">
      <c r="A74" s="1">
        <v>73</v>
      </c>
      <c r="B74" s="1" t="s">
        <v>168</v>
      </c>
      <c r="C74" s="2">
        <v>27492</v>
      </c>
      <c r="D74" s="1" t="s">
        <v>19</v>
      </c>
      <c r="E74" s="1">
        <v>1151</v>
      </c>
      <c r="F74" s="1" t="s">
        <v>33</v>
      </c>
      <c r="G74" s="10">
        <v>6022</v>
      </c>
      <c r="H74" s="1" t="s">
        <v>34</v>
      </c>
      <c r="I74" s="2">
        <v>45408</v>
      </c>
      <c r="K74" s="1" t="s">
        <v>22</v>
      </c>
      <c r="L74" s="1" t="s">
        <v>22</v>
      </c>
      <c r="M74" s="14" t="str">
        <f>IF(Tabela1[[#This Row],[Data_Desligamento]]="","ATIVO","INATIVO")</f>
        <v>ATIVO</v>
      </c>
      <c r="N74" s="14" t="str">
        <f>TEXT(Tabela1[[#This Row],[Data_Admissão]],"mmm")</f>
        <v>abr</v>
      </c>
      <c r="O74" s="14" t="str">
        <f>TEXT(Tabela1[[#This Row],[Data_Desligamento]],"mmm")</f>
        <v>jan</v>
      </c>
      <c r="P74" s="17">
        <f>YEAR(Tabela1[[#This Row],[Data_Admissão]])</f>
        <v>2024</v>
      </c>
      <c r="Q74" s="17" t="str">
        <f>IF(Tabela1[[#This Row],[Data_Desligamento]]="", "", YEAR(Tabela1[[#This Row],[Data_Desligamento]]))</f>
        <v/>
      </c>
      <c r="R74" s="17"/>
    </row>
    <row r="75" spans="1:18">
      <c r="A75" s="1">
        <v>74</v>
      </c>
      <c r="B75" s="1" t="s">
        <v>169</v>
      </c>
      <c r="C75" s="2">
        <v>33979</v>
      </c>
      <c r="D75" s="1" t="s">
        <v>19</v>
      </c>
      <c r="E75" s="1">
        <v>1303</v>
      </c>
      <c r="F75" s="1" t="s">
        <v>25</v>
      </c>
      <c r="G75" s="10">
        <v>2975</v>
      </c>
      <c r="H75" s="1" t="s">
        <v>26</v>
      </c>
      <c r="I75" s="2">
        <v>45413</v>
      </c>
      <c r="K75" s="1" t="s">
        <v>36</v>
      </c>
      <c r="L75" s="1" t="s">
        <v>22</v>
      </c>
      <c r="M75" s="14" t="str">
        <f>IF(Tabela1[[#This Row],[Data_Desligamento]]="","ATIVO","INATIVO")</f>
        <v>ATIVO</v>
      </c>
      <c r="N75" s="14" t="str">
        <f>TEXT(Tabela1[[#This Row],[Data_Admissão]],"mmm")</f>
        <v>mai</v>
      </c>
      <c r="O75" s="14" t="str">
        <f>TEXT(Tabela1[[#This Row],[Data_Desligamento]],"mmm")</f>
        <v>jan</v>
      </c>
      <c r="P75" s="17">
        <f>YEAR(Tabela1[[#This Row],[Data_Admissão]])</f>
        <v>2024</v>
      </c>
      <c r="Q75" s="17" t="str">
        <f>IF(Tabela1[[#This Row],[Data_Desligamento]]="", "", YEAR(Tabela1[[#This Row],[Data_Desligamento]]))</f>
        <v/>
      </c>
      <c r="R75" s="17"/>
    </row>
    <row r="76" spans="1:18">
      <c r="A76" s="1">
        <v>75</v>
      </c>
      <c r="B76" s="1" t="s">
        <v>170</v>
      </c>
      <c r="C76" s="2">
        <v>27385</v>
      </c>
      <c r="D76" s="1" t="s">
        <v>19</v>
      </c>
      <c r="E76" s="1">
        <v>1223</v>
      </c>
      <c r="F76" s="1" t="s">
        <v>68</v>
      </c>
      <c r="G76" s="10">
        <v>2796</v>
      </c>
      <c r="H76" s="1" t="s">
        <v>54</v>
      </c>
      <c r="I76" s="2">
        <v>45421</v>
      </c>
      <c r="K76" s="1" t="s">
        <v>46</v>
      </c>
      <c r="L76" s="1" t="s">
        <v>22</v>
      </c>
      <c r="M76" s="14" t="str">
        <f>IF(Tabela1[[#This Row],[Data_Desligamento]]="","ATIVO","INATIVO")</f>
        <v>ATIVO</v>
      </c>
      <c r="N76" s="14" t="str">
        <f>TEXT(Tabela1[[#This Row],[Data_Admissão]],"mmm")</f>
        <v>mai</v>
      </c>
      <c r="O76" s="14" t="str">
        <f>TEXT(Tabela1[[#This Row],[Data_Desligamento]],"mmm")</f>
        <v>jan</v>
      </c>
      <c r="P76" s="17">
        <f>YEAR(Tabela1[[#This Row],[Data_Admissão]])</f>
        <v>2024</v>
      </c>
      <c r="Q76" s="17" t="str">
        <f>IF(Tabela1[[#This Row],[Data_Desligamento]]="", "", YEAR(Tabela1[[#This Row],[Data_Desligamento]]))</f>
        <v/>
      </c>
      <c r="R76" s="17"/>
    </row>
    <row r="77" spans="1:18">
      <c r="A77" s="1">
        <v>76</v>
      </c>
      <c r="B77" s="1" t="s">
        <v>171</v>
      </c>
      <c r="C77" s="2">
        <v>35123</v>
      </c>
      <c r="D77" s="1" t="s">
        <v>19</v>
      </c>
      <c r="E77" s="1">
        <v>1173</v>
      </c>
      <c r="F77" s="1" t="s">
        <v>33</v>
      </c>
      <c r="G77" s="10">
        <v>5812</v>
      </c>
      <c r="H77" s="1" t="s">
        <v>34</v>
      </c>
      <c r="I77" s="2">
        <v>45427</v>
      </c>
      <c r="K77" s="1" t="s">
        <v>49</v>
      </c>
      <c r="L77" s="1" t="s">
        <v>22</v>
      </c>
      <c r="M77" s="14" t="str">
        <f>IF(Tabela1[[#This Row],[Data_Desligamento]]="","ATIVO","INATIVO")</f>
        <v>ATIVO</v>
      </c>
      <c r="N77" s="14" t="str">
        <f>TEXT(Tabela1[[#This Row],[Data_Admissão]],"mmm")</f>
        <v>mai</v>
      </c>
      <c r="O77" s="14" t="str">
        <f>TEXT(Tabela1[[#This Row],[Data_Desligamento]],"mmm")</f>
        <v>jan</v>
      </c>
      <c r="P77" s="17">
        <f>YEAR(Tabela1[[#This Row],[Data_Admissão]])</f>
        <v>2024</v>
      </c>
      <c r="Q77" s="17" t="str">
        <f>IF(Tabela1[[#This Row],[Data_Desligamento]]="", "", YEAR(Tabela1[[#This Row],[Data_Desligamento]]))</f>
        <v/>
      </c>
      <c r="R77" s="17"/>
    </row>
    <row r="78" spans="1:18">
      <c r="A78" s="1">
        <v>77</v>
      </c>
      <c r="B78" s="1" t="s">
        <v>172</v>
      </c>
      <c r="C78" s="2">
        <v>29386</v>
      </c>
      <c r="D78" s="1" t="s">
        <v>19</v>
      </c>
      <c r="E78" s="1">
        <v>1030</v>
      </c>
      <c r="F78" s="1" t="s">
        <v>138</v>
      </c>
      <c r="G78" s="10">
        <v>14964</v>
      </c>
      <c r="H78" s="1" t="s">
        <v>139</v>
      </c>
      <c r="I78" s="2">
        <v>45427</v>
      </c>
      <c r="J78" s="2">
        <v>45517</v>
      </c>
      <c r="K78" s="1" t="s">
        <v>55</v>
      </c>
      <c r="L78" s="1" t="s">
        <v>173</v>
      </c>
      <c r="M78" s="14" t="str">
        <f>IF(Tabela1[[#This Row],[Data_Desligamento]]="","ATIVO","INATIVO")</f>
        <v>INATIVO</v>
      </c>
      <c r="N78" s="14" t="str">
        <f>TEXT(Tabela1[[#This Row],[Data_Admissão]],"mmm")</f>
        <v>mai</v>
      </c>
      <c r="O78" s="14" t="str">
        <f>TEXT(Tabela1[[#This Row],[Data_Desligamento]],"mmm")</f>
        <v>ago</v>
      </c>
      <c r="P78" s="17">
        <f>YEAR(Tabela1[[#This Row],[Data_Admissão]])</f>
        <v>2024</v>
      </c>
      <c r="Q78" s="17">
        <f>IF(Tabela1[[#This Row],[Data_Desligamento]]="", "", YEAR(Tabela1[[#This Row],[Data_Desligamento]]))</f>
        <v>2024</v>
      </c>
      <c r="R78" s="17"/>
    </row>
    <row r="79" spans="1:18">
      <c r="A79" s="1">
        <v>78</v>
      </c>
      <c r="B79" s="1" t="s">
        <v>39</v>
      </c>
      <c r="C79" s="2">
        <v>28568</v>
      </c>
      <c r="D79" s="1" t="s">
        <v>19</v>
      </c>
      <c r="E79" s="1">
        <v>1009</v>
      </c>
      <c r="F79" s="1" t="s">
        <v>38</v>
      </c>
      <c r="G79" s="10">
        <v>17369</v>
      </c>
      <c r="H79" s="1" t="s">
        <v>39</v>
      </c>
      <c r="I79" s="2">
        <v>45429</v>
      </c>
      <c r="K79" s="1" t="s">
        <v>58</v>
      </c>
      <c r="L79" s="1" t="s">
        <v>22</v>
      </c>
      <c r="M79" s="14" t="str">
        <f>IF(Tabela1[[#This Row],[Data_Desligamento]]="","ATIVO","INATIVO")</f>
        <v>ATIVO</v>
      </c>
      <c r="N79" s="14" t="str">
        <f>TEXT(Tabela1[[#This Row],[Data_Admissão]],"mmm")</f>
        <v>mai</v>
      </c>
      <c r="O79" s="14" t="str">
        <f>TEXT(Tabela1[[#This Row],[Data_Desligamento]],"mmm")</f>
        <v>jan</v>
      </c>
      <c r="P79" s="17">
        <f>YEAR(Tabela1[[#This Row],[Data_Admissão]])</f>
        <v>2024</v>
      </c>
      <c r="Q79" s="17" t="str">
        <f>IF(Tabela1[[#This Row],[Data_Desligamento]]="", "", YEAR(Tabela1[[#This Row],[Data_Desligamento]]))</f>
        <v/>
      </c>
      <c r="R79" s="17"/>
    </row>
    <row r="80" spans="1:18">
      <c r="A80" s="1">
        <v>79</v>
      </c>
      <c r="B80" s="1" t="s">
        <v>174</v>
      </c>
      <c r="C80" s="2">
        <v>28203</v>
      </c>
      <c r="D80" s="1" t="s">
        <v>19</v>
      </c>
      <c r="E80" s="1">
        <v>1318</v>
      </c>
      <c r="F80" s="1" t="s">
        <v>76</v>
      </c>
      <c r="G80" s="10">
        <v>6561</v>
      </c>
      <c r="H80" s="1" t="s">
        <v>77</v>
      </c>
      <c r="I80" s="2">
        <v>45437</v>
      </c>
      <c r="K80" s="1" t="s">
        <v>60</v>
      </c>
      <c r="L80" s="1" t="s">
        <v>22</v>
      </c>
      <c r="M80" s="14" t="str">
        <f>IF(Tabela1[[#This Row],[Data_Desligamento]]="","ATIVO","INATIVO")</f>
        <v>ATIVO</v>
      </c>
      <c r="N80" s="14" t="str">
        <f>TEXT(Tabela1[[#This Row],[Data_Admissão]],"mmm")</f>
        <v>mai</v>
      </c>
      <c r="O80" s="14" t="str">
        <f>TEXT(Tabela1[[#This Row],[Data_Desligamento]],"mmm")</f>
        <v>jan</v>
      </c>
      <c r="P80" s="17">
        <f>YEAR(Tabela1[[#This Row],[Data_Admissão]])</f>
        <v>2024</v>
      </c>
      <c r="Q80" s="17" t="str">
        <f>IF(Tabela1[[#This Row],[Data_Desligamento]]="", "", YEAR(Tabela1[[#This Row],[Data_Desligamento]]))</f>
        <v/>
      </c>
      <c r="R80" s="17"/>
    </row>
    <row r="81" spans="1:18">
      <c r="A81" s="1">
        <v>80</v>
      </c>
      <c r="B81" s="1" t="s">
        <v>175</v>
      </c>
      <c r="C81" s="2">
        <v>26518</v>
      </c>
      <c r="D81" s="1" t="s">
        <v>19</v>
      </c>
      <c r="E81" s="1">
        <v>1269</v>
      </c>
      <c r="F81" s="1" t="s">
        <v>81</v>
      </c>
      <c r="G81" s="10">
        <v>1280</v>
      </c>
      <c r="H81" s="1" t="s">
        <v>45</v>
      </c>
      <c r="I81" s="2">
        <v>45440</v>
      </c>
      <c r="J81" s="2">
        <v>45617</v>
      </c>
      <c r="K81" s="1" t="s">
        <v>65</v>
      </c>
      <c r="L81" s="1" t="s">
        <v>176</v>
      </c>
      <c r="M81" s="14" t="str">
        <f>IF(Tabela1[[#This Row],[Data_Desligamento]]="","ATIVO","INATIVO")</f>
        <v>INATIVO</v>
      </c>
      <c r="N81" s="14" t="str">
        <f>TEXT(Tabela1[[#This Row],[Data_Admissão]],"mmm")</f>
        <v>mai</v>
      </c>
      <c r="O81" s="14" t="str">
        <f>TEXT(Tabela1[[#This Row],[Data_Desligamento]],"mmm")</f>
        <v>nov</v>
      </c>
      <c r="P81" s="17">
        <f>YEAR(Tabela1[[#This Row],[Data_Admissão]])</f>
        <v>2024</v>
      </c>
      <c r="Q81" s="17">
        <f>IF(Tabela1[[#This Row],[Data_Desligamento]]="", "", YEAR(Tabela1[[#This Row],[Data_Desligamento]]))</f>
        <v>2024</v>
      </c>
      <c r="R81" s="17"/>
    </row>
    <row r="82" spans="1:18">
      <c r="A82" s="1">
        <v>81</v>
      </c>
      <c r="B82" s="1" t="s">
        <v>177</v>
      </c>
      <c r="C82" s="2">
        <v>34504</v>
      </c>
      <c r="D82" s="1" t="s">
        <v>19</v>
      </c>
      <c r="E82" s="1">
        <v>1342</v>
      </c>
      <c r="F82" s="1" t="s">
        <v>20</v>
      </c>
      <c r="G82" s="10">
        <v>2265</v>
      </c>
      <c r="H82" s="1" t="s">
        <v>21</v>
      </c>
      <c r="I82" s="2">
        <v>45444</v>
      </c>
      <c r="J82" s="2">
        <v>45750</v>
      </c>
      <c r="K82" s="1" t="s">
        <v>69</v>
      </c>
      <c r="L82" s="1" t="s">
        <v>178</v>
      </c>
      <c r="M82" s="14" t="str">
        <f>IF(Tabela1[[#This Row],[Data_Desligamento]]="","ATIVO","INATIVO")</f>
        <v>INATIVO</v>
      </c>
      <c r="N82" s="14" t="str">
        <f>TEXT(Tabela1[[#This Row],[Data_Admissão]],"mmm")</f>
        <v>jun</v>
      </c>
      <c r="O82" s="14" t="str">
        <f>TEXT(Tabela1[[#This Row],[Data_Desligamento]],"mmm")</f>
        <v>abr</v>
      </c>
      <c r="P82" s="17">
        <f>YEAR(Tabela1[[#This Row],[Data_Admissão]])</f>
        <v>2024</v>
      </c>
      <c r="Q82" s="17">
        <f>IF(Tabela1[[#This Row],[Data_Desligamento]]="", "", YEAR(Tabela1[[#This Row],[Data_Desligamento]]))</f>
        <v>2025</v>
      </c>
      <c r="R82" s="17"/>
    </row>
    <row r="83" spans="1:18">
      <c r="A83" s="1">
        <v>82</v>
      </c>
      <c r="B83" s="1" t="s">
        <v>179</v>
      </c>
      <c r="C83" s="2">
        <v>27414</v>
      </c>
      <c r="D83" s="1" t="s">
        <v>19</v>
      </c>
      <c r="E83" s="1">
        <v>1227</v>
      </c>
      <c r="F83" s="1" t="s">
        <v>30</v>
      </c>
      <c r="G83" s="10">
        <v>9215</v>
      </c>
      <c r="H83" s="1" t="s">
        <v>31</v>
      </c>
      <c r="I83" s="2">
        <v>45444</v>
      </c>
      <c r="K83" s="1" t="s">
        <v>71</v>
      </c>
      <c r="L83" s="1" t="s">
        <v>22</v>
      </c>
      <c r="M83" s="14" t="str">
        <f>IF(Tabela1[[#This Row],[Data_Desligamento]]="","ATIVO","INATIVO")</f>
        <v>ATIVO</v>
      </c>
      <c r="N83" s="14" t="str">
        <f>TEXT(Tabela1[[#This Row],[Data_Admissão]],"mmm")</f>
        <v>jun</v>
      </c>
      <c r="O83" s="14" t="str">
        <f>TEXT(Tabela1[[#This Row],[Data_Desligamento]],"mmm")</f>
        <v>jan</v>
      </c>
      <c r="P83" s="17">
        <f>YEAR(Tabela1[[#This Row],[Data_Admissão]])</f>
        <v>2024</v>
      </c>
      <c r="Q83" s="17" t="str">
        <f>IF(Tabela1[[#This Row],[Data_Desligamento]]="", "", YEAR(Tabela1[[#This Row],[Data_Desligamento]]))</f>
        <v/>
      </c>
      <c r="R83" s="17"/>
    </row>
    <row r="84" spans="1:18">
      <c r="A84" s="1">
        <v>83</v>
      </c>
      <c r="B84" s="1" t="s">
        <v>180</v>
      </c>
      <c r="C84" s="2">
        <v>33667</v>
      </c>
      <c r="D84" s="1" t="s">
        <v>19</v>
      </c>
      <c r="E84" s="1">
        <v>1064</v>
      </c>
      <c r="F84" s="1" t="s">
        <v>30</v>
      </c>
      <c r="G84" s="10">
        <v>8475</v>
      </c>
      <c r="H84" s="1" t="s">
        <v>31</v>
      </c>
      <c r="I84" s="2">
        <v>45460</v>
      </c>
      <c r="K84" s="1" t="s">
        <v>73</v>
      </c>
      <c r="L84" s="1" t="s">
        <v>22</v>
      </c>
      <c r="M84" s="14" t="str">
        <f>IF(Tabela1[[#This Row],[Data_Desligamento]]="","ATIVO","INATIVO")</f>
        <v>ATIVO</v>
      </c>
      <c r="N84" s="14" t="str">
        <f>TEXT(Tabela1[[#This Row],[Data_Admissão]],"mmm")</f>
        <v>jun</v>
      </c>
      <c r="O84" s="14" t="str">
        <f>TEXT(Tabela1[[#This Row],[Data_Desligamento]],"mmm")</f>
        <v>jan</v>
      </c>
      <c r="P84" s="17">
        <f>YEAR(Tabela1[[#This Row],[Data_Admissão]])</f>
        <v>2024</v>
      </c>
      <c r="Q84" s="17" t="str">
        <f>IF(Tabela1[[#This Row],[Data_Desligamento]]="", "", YEAR(Tabela1[[#This Row],[Data_Desligamento]]))</f>
        <v/>
      </c>
      <c r="R84" s="17"/>
    </row>
    <row r="85" spans="1:18">
      <c r="A85" s="1">
        <v>84</v>
      </c>
      <c r="B85" s="1" t="s">
        <v>181</v>
      </c>
      <c r="C85" s="2">
        <v>29361</v>
      </c>
      <c r="D85" s="1" t="s">
        <v>19</v>
      </c>
      <c r="E85" s="1">
        <v>1345</v>
      </c>
      <c r="F85" s="1" t="s">
        <v>38</v>
      </c>
      <c r="G85" s="10">
        <v>16438</v>
      </c>
      <c r="H85" s="1" t="s">
        <v>39</v>
      </c>
      <c r="I85" s="2">
        <v>45461</v>
      </c>
      <c r="J85" s="2">
        <v>45528</v>
      </c>
      <c r="K85" s="1" t="s">
        <v>22</v>
      </c>
      <c r="L85" s="1" t="s">
        <v>182</v>
      </c>
      <c r="M85" s="14" t="str">
        <f>IF(Tabela1[[#This Row],[Data_Desligamento]]="","ATIVO","INATIVO")</f>
        <v>INATIVO</v>
      </c>
      <c r="N85" s="14" t="str">
        <f>TEXT(Tabela1[[#This Row],[Data_Admissão]],"mmm")</f>
        <v>jun</v>
      </c>
      <c r="O85" s="14" t="str">
        <f>TEXT(Tabela1[[#This Row],[Data_Desligamento]],"mmm")</f>
        <v>ago</v>
      </c>
      <c r="P85" s="17">
        <f>YEAR(Tabela1[[#This Row],[Data_Admissão]])</f>
        <v>2024</v>
      </c>
      <c r="Q85" s="17">
        <f>IF(Tabela1[[#This Row],[Data_Desligamento]]="", "", YEAR(Tabela1[[#This Row],[Data_Desligamento]]))</f>
        <v>2024</v>
      </c>
      <c r="R85" s="17"/>
    </row>
    <row r="86" spans="1:18">
      <c r="A86" s="1">
        <v>85</v>
      </c>
      <c r="B86" s="1" t="s">
        <v>183</v>
      </c>
      <c r="C86" s="2">
        <v>31033</v>
      </c>
      <c r="D86" s="1" t="s">
        <v>19</v>
      </c>
      <c r="E86" s="1">
        <v>1242</v>
      </c>
      <c r="F86" s="1" t="s">
        <v>30</v>
      </c>
      <c r="G86" s="10">
        <v>8362</v>
      </c>
      <c r="H86" s="1" t="s">
        <v>31</v>
      </c>
      <c r="I86" s="2">
        <v>45462</v>
      </c>
      <c r="J86" s="2">
        <v>45630</v>
      </c>
      <c r="K86" s="1" t="s">
        <v>79</v>
      </c>
      <c r="L86" s="1" t="s">
        <v>184</v>
      </c>
      <c r="M86" s="14" t="str">
        <f>IF(Tabela1[[#This Row],[Data_Desligamento]]="","ATIVO","INATIVO")</f>
        <v>INATIVO</v>
      </c>
      <c r="N86" s="14" t="str">
        <f>TEXT(Tabela1[[#This Row],[Data_Admissão]],"mmm")</f>
        <v>jun</v>
      </c>
      <c r="O86" s="14" t="str">
        <f>TEXT(Tabela1[[#This Row],[Data_Desligamento]],"mmm")</f>
        <v>dez</v>
      </c>
      <c r="P86" s="17">
        <f>YEAR(Tabela1[[#This Row],[Data_Admissão]])</f>
        <v>2024</v>
      </c>
      <c r="Q86" s="17">
        <f>IF(Tabela1[[#This Row],[Data_Desligamento]]="", "", YEAR(Tabela1[[#This Row],[Data_Desligamento]]))</f>
        <v>2024</v>
      </c>
      <c r="R86" s="17"/>
    </row>
    <row r="87" spans="1:18">
      <c r="A87" s="1">
        <v>86</v>
      </c>
      <c r="B87" s="1" t="s">
        <v>185</v>
      </c>
      <c r="C87" s="2">
        <v>29213</v>
      </c>
      <c r="D87" s="1" t="s">
        <v>19</v>
      </c>
      <c r="E87" s="1">
        <v>1213</v>
      </c>
      <c r="F87" s="1" t="s">
        <v>25</v>
      </c>
      <c r="G87" s="10">
        <v>4032</v>
      </c>
      <c r="H87" s="1" t="s">
        <v>26</v>
      </c>
      <c r="I87" s="2">
        <v>45466</v>
      </c>
      <c r="K87" s="1" t="s">
        <v>22</v>
      </c>
      <c r="L87" s="1" t="s">
        <v>22</v>
      </c>
      <c r="M87" s="14" t="str">
        <f>IF(Tabela1[[#This Row],[Data_Desligamento]]="","ATIVO","INATIVO")</f>
        <v>ATIVO</v>
      </c>
      <c r="N87" s="14" t="str">
        <f>TEXT(Tabela1[[#This Row],[Data_Admissão]],"mmm")</f>
        <v>jun</v>
      </c>
      <c r="O87" s="14" t="str">
        <f>TEXT(Tabela1[[#This Row],[Data_Desligamento]],"mmm")</f>
        <v>jan</v>
      </c>
      <c r="P87" s="17">
        <f>YEAR(Tabela1[[#This Row],[Data_Admissão]])</f>
        <v>2024</v>
      </c>
      <c r="Q87" s="17" t="str">
        <f>IF(Tabela1[[#This Row],[Data_Desligamento]]="", "", YEAR(Tabela1[[#This Row],[Data_Desligamento]]))</f>
        <v/>
      </c>
      <c r="R87" s="17"/>
    </row>
    <row r="88" spans="1:18">
      <c r="A88" s="1">
        <v>87</v>
      </c>
      <c r="B88" s="1" t="s">
        <v>186</v>
      </c>
      <c r="C88" s="2">
        <v>34841</v>
      </c>
      <c r="D88" s="1" t="s">
        <v>19</v>
      </c>
      <c r="E88" s="1">
        <v>1181</v>
      </c>
      <c r="F88" s="1" t="s">
        <v>81</v>
      </c>
      <c r="G88" s="10">
        <v>1963</v>
      </c>
      <c r="H88" s="1" t="s">
        <v>45</v>
      </c>
      <c r="I88" s="2">
        <v>45470</v>
      </c>
      <c r="K88" s="1" t="s">
        <v>22</v>
      </c>
      <c r="L88" s="1" t="s">
        <v>22</v>
      </c>
      <c r="M88" s="14" t="str">
        <f>IF(Tabela1[[#This Row],[Data_Desligamento]]="","ATIVO","INATIVO")</f>
        <v>ATIVO</v>
      </c>
      <c r="N88" s="14" t="str">
        <f>TEXT(Tabela1[[#This Row],[Data_Admissão]],"mmm")</f>
        <v>jun</v>
      </c>
      <c r="O88" s="14" t="str">
        <f>TEXT(Tabela1[[#This Row],[Data_Desligamento]],"mmm")</f>
        <v>jan</v>
      </c>
      <c r="P88" s="17">
        <f>YEAR(Tabela1[[#This Row],[Data_Admissão]])</f>
        <v>2024</v>
      </c>
      <c r="Q88" s="17" t="str">
        <f>IF(Tabela1[[#This Row],[Data_Desligamento]]="", "", YEAR(Tabela1[[#This Row],[Data_Desligamento]]))</f>
        <v/>
      </c>
      <c r="R88" s="17"/>
    </row>
    <row r="89" spans="1:18">
      <c r="A89" s="1">
        <v>88</v>
      </c>
      <c r="B89" s="1" t="s">
        <v>187</v>
      </c>
      <c r="C89" s="2">
        <v>29302</v>
      </c>
      <c r="D89" s="1" t="s">
        <v>19</v>
      </c>
      <c r="E89" s="1">
        <v>1114</v>
      </c>
      <c r="F89" s="1" t="s">
        <v>89</v>
      </c>
      <c r="G89" s="10">
        <v>3774</v>
      </c>
      <c r="H89" s="1" t="s">
        <v>77</v>
      </c>
      <c r="I89" s="2">
        <v>45471</v>
      </c>
      <c r="J89" s="2">
        <v>45712</v>
      </c>
      <c r="K89" s="1" t="s">
        <v>22</v>
      </c>
      <c r="L89" s="1" t="s">
        <v>188</v>
      </c>
      <c r="M89" s="14" t="str">
        <f>IF(Tabela1[[#This Row],[Data_Desligamento]]="","ATIVO","INATIVO")</f>
        <v>INATIVO</v>
      </c>
      <c r="N89" s="14" t="str">
        <f>TEXT(Tabela1[[#This Row],[Data_Admissão]],"mmm")</f>
        <v>jun</v>
      </c>
      <c r="O89" s="14" t="str">
        <f>TEXT(Tabela1[[#This Row],[Data_Desligamento]],"mmm")</f>
        <v>fev</v>
      </c>
      <c r="P89" s="17">
        <f>YEAR(Tabela1[[#This Row],[Data_Admissão]])</f>
        <v>2024</v>
      </c>
      <c r="Q89" s="17">
        <f>IF(Tabela1[[#This Row],[Data_Desligamento]]="", "", YEAR(Tabela1[[#This Row],[Data_Desligamento]]))</f>
        <v>2025</v>
      </c>
      <c r="R89" s="17"/>
    </row>
    <row r="90" spans="1:18">
      <c r="A90" s="1">
        <v>89</v>
      </c>
      <c r="B90" s="1" t="s">
        <v>189</v>
      </c>
      <c r="C90" s="2">
        <v>26326</v>
      </c>
      <c r="D90" s="1" t="s">
        <v>19</v>
      </c>
      <c r="E90" s="1">
        <v>1333</v>
      </c>
      <c r="F90" s="1" t="s">
        <v>48</v>
      </c>
      <c r="G90" s="10">
        <v>3098</v>
      </c>
      <c r="H90" s="1" t="s">
        <v>26</v>
      </c>
      <c r="I90" s="2">
        <v>45472</v>
      </c>
      <c r="K90" s="1" t="s">
        <v>22</v>
      </c>
      <c r="L90" s="1" t="s">
        <v>22</v>
      </c>
      <c r="M90" s="14" t="str">
        <f>IF(Tabela1[[#This Row],[Data_Desligamento]]="","ATIVO","INATIVO")</f>
        <v>ATIVO</v>
      </c>
      <c r="N90" s="14" t="str">
        <f>TEXT(Tabela1[[#This Row],[Data_Admissão]],"mmm")</f>
        <v>jun</v>
      </c>
      <c r="O90" s="14" t="str">
        <f>TEXT(Tabela1[[#This Row],[Data_Desligamento]],"mmm")</f>
        <v>jan</v>
      </c>
      <c r="P90" s="17">
        <f>YEAR(Tabela1[[#This Row],[Data_Admissão]])</f>
        <v>2024</v>
      </c>
      <c r="Q90" s="17" t="str">
        <f>IF(Tabela1[[#This Row],[Data_Desligamento]]="", "", YEAR(Tabela1[[#This Row],[Data_Desligamento]]))</f>
        <v/>
      </c>
      <c r="R90" s="17"/>
    </row>
    <row r="91" spans="1:18">
      <c r="A91" s="1">
        <v>90</v>
      </c>
      <c r="B91" s="1" t="s">
        <v>190</v>
      </c>
      <c r="C91" s="2">
        <v>36363</v>
      </c>
      <c r="D91" s="1" t="s">
        <v>19</v>
      </c>
      <c r="E91" s="1">
        <v>1063</v>
      </c>
      <c r="F91" s="1" t="s">
        <v>53</v>
      </c>
      <c r="G91" s="10">
        <v>3572</v>
      </c>
      <c r="H91" s="1" t="s">
        <v>54</v>
      </c>
      <c r="I91" s="2">
        <v>45477</v>
      </c>
      <c r="J91" s="2">
        <v>45814</v>
      </c>
      <c r="K91" s="1" t="s">
        <v>92</v>
      </c>
      <c r="L91" s="1" t="s">
        <v>191</v>
      </c>
      <c r="M91" s="14" t="str">
        <f>IF(Tabela1[[#This Row],[Data_Desligamento]]="","ATIVO","INATIVO")</f>
        <v>INATIVO</v>
      </c>
      <c r="N91" s="14" t="str">
        <f>TEXT(Tabela1[[#This Row],[Data_Admissão]],"mmm")</f>
        <v>jul</v>
      </c>
      <c r="O91" s="14" t="str">
        <f>TEXT(Tabela1[[#This Row],[Data_Desligamento]],"mmm")</f>
        <v>jun</v>
      </c>
      <c r="P91" s="17">
        <f>YEAR(Tabela1[[#This Row],[Data_Admissão]])</f>
        <v>2024</v>
      </c>
      <c r="Q91" s="17">
        <f>IF(Tabela1[[#This Row],[Data_Desligamento]]="", "", YEAR(Tabela1[[#This Row],[Data_Desligamento]]))</f>
        <v>2025</v>
      </c>
      <c r="R91" s="17"/>
    </row>
    <row r="92" spans="1:18">
      <c r="A92" s="1">
        <v>91</v>
      </c>
      <c r="B92" s="1" t="s">
        <v>137</v>
      </c>
      <c r="C92" s="2">
        <v>35743</v>
      </c>
      <c r="D92" s="1" t="s">
        <v>19</v>
      </c>
      <c r="E92" s="1">
        <v>1090</v>
      </c>
      <c r="F92" s="1" t="s">
        <v>20</v>
      </c>
      <c r="G92" s="10">
        <v>4140</v>
      </c>
      <c r="H92" s="1" t="s">
        <v>21</v>
      </c>
      <c r="I92" s="2">
        <v>45485</v>
      </c>
      <c r="K92" s="1" t="s">
        <v>22</v>
      </c>
      <c r="L92" s="1" t="s">
        <v>22</v>
      </c>
      <c r="M92" s="14" t="str">
        <f>IF(Tabela1[[#This Row],[Data_Desligamento]]="","ATIVO","INATIVO")</f>
        <v>ATIVO</v>
      </c>
      <c r="N92" s="14" t="str">
        <f>TEXT(Tabela1[[#This Row],[Data_Admissão]],"mmm")</f>
        <v>jul</v>
      </c>
      <c r="O92" s="14" t="str">
        <f>TEXT(Tabela1[[#This Row],[Data_Desligamento]],"mmm")</f>
        <v>jan</v>
      </c>
      <c r="P92" s="17">
        <f>YEAR(Tabela1[[#This Row],[Data_Admissão]])</f>
        <v>2024</v>
      </c>
      <c r="Q92" s="17" t="str">
        <f>IF(Tabela1[[#This Row],[Data_Desligamento]]="", "", YEAR(Tabela1[[#This Row],[Data_Desligamento]]))</f>
        <v/>
      </c>
      <c r="R92" s="17"/>
    </row>
    <row r="93" spans="1:18">
      <c r="A93" s="1">
        <v>92</v>
      </c>
      <c r="B93" s="1" t="s">
        <v>192</v>
      </c>
      <c r="C93" s="2">
        <v>27856</v>
      </c>
      <c r="D93" s="1" t="s">
        <v>19</v>
      </c>
      <c r="E93" s="1">
        <v>1082</v>
      </c>
      <c r="F93" s="1" t="s">
        <v>38</v>
      </c>
      <c r="G93" s="10">
        <v>17830</v>
      </c>
      <c r="H93" s="1" t="s">
        <v>39</v>
      </c>
      <c r="I93" s="2">
        <v>45487</v>
      </c>
      <c r="K93" s="1" t="s">
        <v>95</v>
      </c>
      <c r="L93" s="1" t="s">
        <v>22</v>
      </c>
      <c r="M93" s="14" t="str">
        <f>IF(Tabela1[[#This Row],[Data_Desligamento]]="","ATIVO","INATIVO")</f>
        <v>ATIVO</v>
      </c>
      <c r="N93" s="14" t="str">
        <f>TEXT(Tabela1[[#This Row],[Data_Admissão]],"mmm")</f>
        <v>jul</v>
      </c>
      <c r="O93" s="14" t="str">
        <f>TEXT(Tabela1[[#This Row],[Data_Desligamento]],"mmm")</f>
        <v>jan</v>
      </c>
      <c r="P93" s="17">
        <f>YEAR(Tabela1[[#This Row],[Data_Admissão]])</f>
        <v>2024</v>
      </c>
      <c r="Q93" s="17" t="str">
        <f>IF(Tabela1[[#This Row],[Data_Desligamento]]="", "", YEAR(Tabela1[[#This Row],[Data_Desligamento]]))</f>
        <v/>
      </c>
      <c r="R93" s="17"/>
    </row>
    <row r="94" spans="1:18">
      <c r="A94" s="1">
        <v>93</v>
      </c>
      <c r="B94" s="1" t="s">
        <v>193</v>
      </c>
      <c r="C94" s="2">
        <v>29815</v>
      </c>
      <c r="D94" s="1" t="s">
        <v>19</v>
      </c>
      <c r="E94" s="1">
        <v>1263</v>
      </c>
      <c r="F94" s="1" t="s">
        <v>25</v>
      </c>
      <c r="G94" s="10">
        <v>4735</v>
      </c>
      <c r="H94" s="1" t="s">
        <v>26</v>
      </c>
      <c r="I94" s="2">
        <v>45492</v>
      </c>
      <c r="K94" s="1" t="s">
        <v>98</v>
      </c>
      <c r="L94" s="1" t="s">
        <v>22</v>
      </c>
      <c r="M94" s="14" t="str">
        <f>IF(Tabela1[[#This Row],[Data_Desligamento]]="","ATIVO","INATIVO")</f>
        <v>ATIVO</v>
      </c>
      <c r="N94" s="14" t="str">
        <f>TEXT(Tabela1[[#This Row],[Data_Admissão]],"mmm")</f>
        <v>jul</v>
      </c>
      <c r="O94" s="14" t="str">
        <f>TEXT(Tabela1[[#This Row],[Data_Desligamento]],"mmm")</f>
        <v>jan</v>
      </c>
      <c r="P94" s="17">
        <f>YEAR(Tabela1[[#This Row],[Data_Admissão]])</f>
        <v>2024</v>
      </c>
      <c r="Q94" s="17" t="str">
        <f>IF(Tabela1[[#This Row],[Data_Desligamento]]="", "", YEAR(Tabela1[[#This Row],[Data_Desligamento]]))</f>
        <v/>
      </c>
      <c r="R94" s="17"/>
    </row>
    <row r="95" spans="1:18">
      <c r="A95" s="1">
        <v>94</v>
      </c>
      <c r="B95" s="1" t="s">
        <v>194</v>
      </c>
      <c r="C95" s="2">
        <v>34390</v>
      </c>
      <c r="D95" s="1" t="s">
        <v>19</v>
      </c>
      <c r="E95" s="1">
        <v>1068</v>
      </c>
      <c r="F95" s="1" t="s">
        <v>63</v>
      </c>
      <c r="G95" s="10">
        <v>7073</v>
      </c>
      <c r="H95" s="1" t="s">
        <v>21</v>
      </c>
      <c r="I95" s="2">
        <v>45500</v>
      </c>
      <c r="K95" s="1" t="s">
        <v>22</v>
      </c>
      <c r="L95" s="1" t="s">
        <v>22</v>
      </c>
      <c r="M95" s="14" t="str">
        <f>IF(Tabela1[[#This Row],[Data_Desligamento]]="","ATIVO","INATIVO")</f>
        <v>ATIVO</v>
      </c>
      <c r="N95" s="14" t="str">
        <f>TEXT(Tabela1[[#This Row],[Data_Admissão]],"mmm")</f>
        <v>jul</v>
      </c>
      <c r="O95" s="14" t="str">
        <f>TEXT(Tabela1[[#This Row],[Data_Desligamento]],"mmm")</f>
        <v>jan</v>
      </c>
      <c r="P95" s="17">
        <f>YEAR(Tabela1[[#This Row],[Data_Admissão]])</f>
        <v>2024</v>
      </c>
      <c r="Q95" s="17" t="str">
        <f>IF(Tabela1[[#This Row],[Data_Desligamento]]="", "", YEAR(Tabela1[[#This Row],[Data_Desligamento]]))</f>
        <v/>
      </c>
      <c r="R95" s="17"/>
    </row>
    <row r="96" spans="1:18">
      <c r="A96" s="1">
        <v>95</v>
      </c>
      <c r="B96" s="1" t="s">
        <v>195</v>
      </c>
      <c r="C96" s="2">
        <v>34233</v>
      </c>
      <c r="D96" s="1" t="s">
        <v>19</v>
      </c>
      <c r="E96" s="1">
        <v>1279</v>
      </c>
      <c r="F96" s="1" t="s">
        <v>38</v>
      </c>
      <c r="G96" s="10">
        <v>9056</v>
      </c>
      <c r="H96" s="1" t="s">
        <v>39</v>
      </c>
      <c r="I96" s="2">
        <v>45503</v>
      </c>
      <c r="K96" s="1" t="s">
        <v>22</v>
      </c>
      <c r="L96" s="1" t="s">
        <v>22</v>
      </c>
      <c r="M96" s="14" t="str">
        <f>IF(Tabela1[[#This Row],[Data_Desligamento]]="","ATIVO","INATIVO")</f>
        <v>ATIVO</v>
      </c>
      <c r="N96" s="14" t="str">
        <f>TEXT(Tabela1[[#This Row],[Data_Admissão]],"mmm")</f>
        <v>jul</v>
      </c>
      <c r="O96" s="14" t="str">
        <f>TEXT(Tabela1[[#This Row],[Data_Desligamento]],"mmm")</f>
        <v>jan</v>
      </c>
      <c r="P96" s="17">
        <f>YEAR(Tabela1[[#This Row],[Data_Admissão]])</f>
        <v>2024</v>
      </c>
      <c r="Q96" s="17" t="str">
        <f>IF(Tabela1[[#This Row],[Data_Desligamento]]="", "", YEAR(Tabela1[[#This Row],[Data_Desligamento]]))</f>
        <v/>
      </c>
      <c r="R96" s="17"/>
    </row>
    <row r="97" spans="1:18">
      <c r="A97" s="1">
        <v>96</v>
      </c>
      <c r="B97" s="1" t="s">
        <v>196</v>
      </c>
      <c r="C97" s="2">
        <v>27743</v>
      </c>
      <c r="D97" s="1" t="s">
        <v>19</v>
      </c>
      <c r="E97" s="1">
        <v>1237</v>
      </c>
      <c r="F97" s="1" t="s">
        <v>30</v>
      </c>
      <c r="G97" s="10">
        <v>9055</v>
      </c>
      <c r="H97" s="1" t="s">
        <v>31</v>
      </c>
      <c r="I97" s="2">
        <v>45512</v>
      </c>
      <c r="K97" s="1" t="s">
        <v>22</v>
      </c>
      <c r="L97" s="1" t="s">
        <v>22</v>
      </c>
      <c r="M97" s="14" t="str">
        <f>IF(Tabela1[[#This Row],[Data_Desligamento]]="","ATIVO","INATIVO")</f>
        <v>ATIVO</v>
      </c>
      <c r="N97" s="14" t="str">
        <f>TEXT(Tabela1[[#This Row],[Data_Admissão]],"mmm")</f>
        <v>ago</v>
      </c>
      <c r="O97" s="14" t="str">
        <f>TEXT(Tabela1[[#This Row],[Data_Desligamento]],"mmm")</f>
        <v>jan</v>
      </c>
      <c r="P97" s="17">
        <f>YEAR(Tabela1[[#This Row],[Data_Admissão]])</f>
        <v>2024</v>
      </c>
      <c r="Q97" s="17" t="str">
        <f>IF(Tabela1[[#This Row],[Data_Desligamento]]="", "", YEAR(Tabela1[[#This Row],[Data_Desligamento]]))</f>
        <v/>
      </c>
      <c r="R97" s="17"/>
    </row>
    <row r="98" spans="1:18">
      <c r="A98" s="1">
        <v>97</v>
      </c>
      <c r="B98" s="1" t="s">
        <v>99</v>
      </c>
      <c r="C98" s="2">
        <v>30652</v>
      </c>
      <c r="D98" s="1" t="s">
        <v>19</v>
      </c>
      <c r="E98" s="1">
        <v>1324</v>
      </c>
      <c r="F98" s="1" t="s">
        <v>33</v>
      </c>
      <c r="G98" s="10">
        <v>6391</v>
      </c>
      <c r="H98" s="1" t="s">
        <v>34</v>
      </c>
      <c r="I98" s="2">
        <v>45517</v>
      </c>
      <c r="J98" s="2">
        <v>45846</v>
      </c>
      <c r="K98" s="1" t="s">
        <v>100</v>
      </c>
      <c r="L98" s="1" t="s">
        <v>197</v>
      </c>
      <c r="M98" s="14" t="str">
        <f>IF(Tabela1[[#This Row],[Data_Desligamento]]="","ATIVO","INATIVO")</f>
        <v>INATIVO</v>
      </c>
      <c r="N98" s="14" t="str">
        <f>TEXT(Tabela1[[#This Row],[Data_Admissão]],"mmm")</f>
        <v>ago</v>
      </c>
      <c r="O98" s="14" t="str">
        <f>TEXT(Tabela1[[#This Row],[Data_Desligamento]],"mmm")</f>
        <v>jul</v>
      </c>
      <c r="P98" s="17">
        <f>YEAR(Tabela1[[#This Row],[Data_Admissão]])</f>
        <v>2024</v>
      </c>
      <c r="Q98" s="17">
        <f>IF(Tabela1[[#This Row],[Data_Desligamento]]="", "", YEAR(Tabela1[[#This Row],[Data_Desligamento]]))</f>
        <v>2025</v>
      </c>
      <c r="R98" s="17"/>
    </row>
    <row r="99" spans="1:18">
      <c r="A99" s="1">
        <v>98</v>
      </c>
      <c r="B99" s="1" t="s">
        <v>198</v>
      </c>
      <c r="C99" s="2">
        <v>34260</v>
      </c>
      <c r="D99" s="1" t="s">
        <v>19</v>
      </c>
      <c r="E99" s="1">
        <v>1093</v>
      </c>
      <c r="F99" s="1" t="s">
        <v>76</v>
      </c>
      <c r="G99" s="10">
        <v>7916</v>
      </c>
      <c r="H99" s="1" t="s">
        <v>77</v>
      </c>
      <c r="I99" s="2">
        <v>45518</v>
      </c>
      <c r="K99" s="1" t="s">
        <v>103</v>
      </c>
      <c r="L99" s="1" t="s">
        <v>22</v>
      </c>
      <c r="M99" s="14" t="str">
        <f>IF(Tabela1[[#This Row],[Data_Desligamento]]="","ATIVO","INATIVO")</f>
        <v>ATIVO</v>
      </c>
      <c r="N99" s="14" t="str">
        <f>TEXT(Tabela1[[#This Row],[Data_Admissão]],"mmm")</f>
        <v>ago</v>
      </c>
      <c r="O99" s="14" t="str">
        <f>TEXT(Tabela1[[#This Row],[Data_Desligamento]],"mmm")</f>
        <v>jan</v>
      </c>
      <c r="P99" s="17">
        <f>YEAR(Tabela1[[#This Row],[Data_Admissão]])</f>
        <v>2024</v>
      </c>
      <c r="Q99" s="17" t="str">
        <f>IF(Tabela1[[#This Row],[Data_Desligamento]]="", "", YEAR(Tabela1[[#This Row],[Data_Desligamento]]))</f>
        <v/>
      </c>
      <c r="R99" s="17"/>
    </row>
    <row r="100" spans="1:18">
      <c r="A100" s="1">
        <v>99</v>
      </c>
      <c r="B100" s="1" t="s">
        <v>199</v>
      </c>
      <c r="C100" s="2">
        <v>32410</v>
      </c>
      <c r="D100" s="1" t="s">
        <v>19</v>
      </c>
      <c r="E100" s="1">
        <v>1137</v>
      </c>
      <c r="F100" s="1" t="s">
        <v>30</v>
      </c>
      <c r="G100" s="10">
        <v>10404</v>
      </c>
      <c r="H100" s="1" t="s">
        <v>31</v>
      </c>
      <c r="I100" s="2">
        <v>45519</v>
      </c>
      <c r="K100" s="1" t="s">
        <v>105</v>
      </c>
      <c r="L100" s="1" t="s">
        <v>22</v>
      </c>
      <c r="M100" s="14" t="str">
        <f>IF(Tabela1[[#This Row],[Data_Desligamento]]="","ATIVO","INATIVO")</f>
        <v>ATIVO</v>
      </c>
      <c r="N100" s="14" t="str">
        <f>TEXT(Tabela1[[#This Row],[Data_Admissão]],"mmm")</f>
        <v>ago</v>
      </c>
      <c r="O100" s="14" t="str">
        <f>TEXT(Tabela1[[#This Row],[Data_Desligamento]],"mmm")</f>
        <v>jan</v>
      </c>
      <c r="P100" s="17">
        <f>YEAR(Tabela1[[#This Row],[Data_Admissão]])</f>
        <v>2024</v>
      </c>
      <c r="Q100" s="17" t="str">
        <f>IF(Tabela1[[#This Row],[Data_Desligamento]]="", "", YEAR(Tabela1[[#This Row],[Data_Desligamento]]))</f>
        <v/>
      </c>
      <c r="R100" s="17"/>
    </row>
    <row r="101" spans="1:18">
      <c r="A101" s="1">
        <v>100</v>
      </c>
      <c r="B101" s="1" t="s">
        <v>200</v>
      </c>
      <c r="C101" s="2">
        <v>28911</v>
      </c>
      <c r="D101" s="1" t="s">
        <v>19</v>
      </c>
      <c r="E101" s="1">
        <v>1276</v>
      </c>
      <c r="F101" s="1" t="s">
        <v>20</v>
      </c>
      <c r="G101" s="10">
        <v>2840</v>
      </c>
      <c r="H101" s="1" t="s">
        <v>21</v>
      </c>
      <c r="I101" s="2">
        <v>45522</v>
      </c>
      <c r="K101" s="1" t="s">
        <v>107</v>
      </c>
      <c r="L101" s="1" t="s">
        <v>22</v>
      </c>
      <c r="M101" s="14" t="str">
        <f>IF(Tabela1[[#This Row],[Data_Desligamento]]="","ATIVO","INATIVO")</f>
        <v>ATIVO</v>
      </c>
      <c r="N101" s="14" t="str">
        <f>TEXT(Tabela1[[#This Row],[Data_Admissão]],"mmm")</f>
        <v>ago</v>
      </c>
      <c r="O101" s="14" t="str">
        <f>TEXT(Tabela1[[#This Row],[Data_Desligamento]],"mmm")</f>
        <v>jan</v>
      </c>
      <c r="P101" s="17">
        <f>YEAR(Tabela1[[#This Row],[Data_Admissão]])</f>
        <v>2024</v>
      </c>
      <c r="Q101" s="17" t="str">
        <f>IF(Tabela1[[#This Row],[Data_Desligamento]]="", "", YEAR(Tabela1[[#This Row],[Data_Desligamento]]))</f>
        <v/>
      </c>
      <c r="R101" s="17"/>
    </row>
    <row r="102" spans="1:18">
      <c r="A102" s="1">
        <v>101</v>
      </c>
      <c r="B102" s="1" t="s">
        <v>136</v>
      </c>
      <c r="C102" s="2">
        <v>35337</v>
      </c>
      <c r="D102" s="1" t="s">
        <v>19</v>
      </c>
      <c r="E102" s="1">
        <v>1266</v>
      </c>
      <c r="F102" s="1" t="s">
        <v>81</v>
      </c>
      <c r="G102" s="10">
        <v>1359</v>
      </c>
      <c r="H102" s="1" t="s">
        <v>45</v>
      </c>
      <c r="I102" s="2">
        <v>45527</v>
      </c>
      <c r="J102" s="2">
        <v>45870</v>
      </c>
      <c r="K102" s="1" t="s">
        <v>22</v>
      </c>
      <c r="L102" s="1" t="s">
        <v>201</v>
      </c>
      <c r="M102" s="14" t="str">
        <f>IF(Tabela1[[#This Row],[Data_Desligamento]]="","ATIVO","INATIVO")</f>
        <v>INATIVO</v>
      </c>
      <c r="N102" s="14" t="str">
        <f>TEXT(Tabela1[[#This Row],[Data_Admissão]],"mmm")</f>
        <v>ago</v>
      </c>
      <c r="O102" s="14" t="str">
        <f>TEXT(Tabela1[[#This Row],[Data_Desligamento]],"mmm")</f>
        <v>ago</v>
      </c>
      <c r="P102" s="17">
        <f>YEAR(Tabela1[[#This Row],[Data_Admissão]])</f>
        <v>2024</v>
      </c>
      <c r="Q102" s="17">
        <f>IF(Tabela1[[#This Row],[Data_Desligamento]]="", "", YEAR(Tabela1[[#This Row],[Data_Desligamento]]))</f>
        <v>2025</v>
      </c>
      <c r="R102" s="17"/>
    </row>
    <row r="103" spans="1:18">
      <c r="A103" s="1">
        <v>102</v>
      </c>
      <c r="B103" s="1" t="s">
        <v>202</v>
      </c>
      <c r="C103" s="2">
        <v>30722</v>
      </c>
      <c r="D103" s="1" t="s">
        <v>19</v>
      </c>
      <c r="E103" s="1">
        <v>1144</v>
      </c>
      <c r="F103" s="1" t="s">
        <v>63</v>
      </c>
      <c r="G103" s="10">
        <v>12828</v>
      </c>
      <c r="H103" s="1" t="s">
        <v>21</v>
      </c>
      <c r="I103" s="2">
        <v>45534</v>
      </c>
      <c r="K103" s="1" t="s">
        <v>109</v>
      </c>
      <c r="L103" s="1" t="s">
        <v>22</v>
      </c>
      <c r="M103" s="14" t="str">
        <f>IF(Tabela1[[#This Row],[Data_Desligamento]]="","ATIVO","INATIVO")</f>
        <v>ATIVO</v>
      </c>
      <c r="N103" s="14" t="str">
        <f>TEXT(Tabela1[[#This Row],[Data_Admissão]],"mmm")</f>
        <v>ago</v>
      </c>
      <c r="O103" s="14" t="str">
        <f>TEXT(Tabela1[[#This Row],[Data_Desligamento]],"mmm")</f>
        <v>jan</v>
      </c>
      <c r="P103" s="17">
        <f>YEAR(Tabela1[[#This Row],[Data_Admissão]])</f>
        <v>2024</v>
      </c>
      <c r="Q103" s="17" t="str">
        <f>IF(Tabela1[[#This Row],[Data_Desligamento]]="", "", YEAR(Tabela1[[#This Row],[Data_Desligamento]]))</f>
        <v/>
      </c>
      <c r="R103" s="17"/>
    </row>
    <row r="104" spans="1:18">
      <c r="A104" s="1">
        <v>103</v>
      </c>
      <c r="B104" s="1" t="s">
        <v>203</v>
      </c>
      <c r="C104" s="2">
        <v>26773</v>
      </c>
      <c r="D104" s="1" t="s">
        <v>19</v>
      </c>
      <c r="E104" s="1">
        <v>1022</v>
      </c>
      <c r="F104" s="1" t="s">
        <v>57</v>
      </c>
      <c r="G104" s="10">
        <v>6630</v>
      </c>
      <c r="H104" s="1" t="s">
        <v>34</v>
      </c>
      <c r="I104" s="2">
        <v>45535</v>
      </c>
      <c r="K104" s="1" t="s">
        <v>22</v>
      </c>
      <c r="L104" s="1" t="s">
        <v>22</v>
      </c>
      <c r="M104" s="14" t="str">
        <f>IF(Tabela1[[#This Row],[Data_Desligamento]]="","ATIVO","INATIVO")</f>
        <v>ATIVO</v>
      </c>
      <c r="N104" s="14" t="str">
        <f>TEXT(Tabela1[[#This Row],[Data_Admissão]],"mmm")</f>
        <v>ago</v>
      </c>
      <c r="O104" s="14" t="str">
        <f>TEXT(Tabela1[[#This Row],[Data_Desligamento]],"mmm")</f>
        <v>jan</v>
      </c>
      <c r="P104" s="17">
        <f>YEAR(Tabela1[[#This Row],[Data_Admissão]])</f>
        <v>2024</v>
      </c>
      <c r="Q104" s="17" t="str">
        <f>IF(Tabela1[[#This Row],[Data_Desligamento]]="", "", YEAR(Tabela1[[#This Row],[Data_Desligamento]]))</f>
        <v/>
      </c>
      <c r="R104" s="17"/>
    </row>
    <row r="105" spans="1:18">
      <c r="A105" s="1">
        <v>104</v>
      </c>
      <c r="B105" s="1" t="s">
        <v>204</v>
      </c>
      <c r="C105" s="2">
        <v>34057</v>
      </c>
      <c r="D105" s="1" t="s">
        <v>19</v>
      </c>
      <c r="E105" s="1">
        <v>1047</v>
      </c>
      <c r="F105" s="1" t="s">
        <v>53</v>
      </c>
      <c r="G105" s="10">
        <v>2863</v>
      </c>
      <c r="H105" s="1" t="s">
        <v>54</v>
      </c>
      <c r="I105" s="2">
        <v>45536</v>
      </c>
      <c r="K105" s="1" t="s">
        <v>22</v>
      </c>
      <c r="L105" s="1" t="s">
        <v>22</v>
      </c>
      <c r="M105" s="14" t="str">
        <f>IF(Tabela1[[#This Row],[Data_Desligamento]]="","ATIVO","INATIVO")</f>
        <v>ATIVO</v>
      </c>
      <c r="N105" s="14" t="str">
        <f>TEXT(Tabela1[[#This Row],[Data_Admissão]],"mmm")</f>
        <v>set</v>
      </c>
      <c r="O105" s="14" t="str">
        <f>TEXT(Tabela1[[#This Row],[Data_Desligamento]],"mmm")</f>
        <v>jan</v>
      </c>
      <c r="P105" s="17">
        <f>YEAR(Tabela1[[#This Row],[Data_Admissão]])</f>
        <v>2024</v>
      </c>
      <c r="Q105" s="17" t="str">
        <f>IF(Tabela1[[#This Row],[Data_Desligamento]]="", "", YEAR(Tabela1[[#This Row],[Data_Desligamento]]))</f>
        <v/>
      </c>
      <c r="R105" s="17"/>
    </row>
    <row r="106" spans="1:18">
      <c r="A106" s="1">
        <v>105</v>
      </c>
      <c r="B106" s="1" t="s">
        <v>205</v>
      </c>
      <c r="C106" s="2">
        <v>29624</v>
      </c>
      <c r="D106" s="1" t="s">
        <v>19</v>
      </c>
      <c r="E106" s="1">
        <v>1323</v>
      </c>
      <c r="F106" s="1" t="s">
        <v>25</v>
      </c>
      <c r="G106" s="10">
        <v>4442</v>
      </c>
      <c r="H106" s="1" t="s">
        <v>26</v>
      </c>
      <c r="I106" s="2">
        <v>45539</v>
      </c>
      <c r="K106" s="1" t="s">
        <v>22</v>
      </c>
      <c r="L106" s="1" t="s">
        <v>22</v>
      </c>
      <c r="M106" s="14" t="str">
        <f>IF(Tabela1[[#This Row],[Data_Desligamento]]="","ATIVO","INATIVO")</f>
        <v>ATIVO</v>
      </c>
      <c r="N106" s="14" t="str">
        <f>TEXT(Tabela1[[#This Row],[Data_Admissão]],"mmm")</f>
        <v>set</v>
      </c>
      <c r="O106" s="14" t="str">
        <f>TEXT(Tabela1[[#This Row],[Data_Desligamento]],"mmm")</f>
        <v>jan</v>
      </c>
      <c r="P106" s="17">
        <f>YEAR(Tabela1[[#This Row],[Data_Admissão]])</f>
        <v>2024</v>
      </c>
      <c r="Q106" s="17" t="str">
        <f>IF(Tabela1[[#This Row],[Data_Desligamento]]="", "", YEAR(Tabela1[[#This Row],[Data_Desligamento]]))</f>
        <v/>
      </c>
      <c r="R106" s="17"/>
    </row>
    <row r="107" spans="1:18">
      <c r="A107" s="1">
        <v>106</v>
      </c>
      <c r="B107" s="1" t="s">
        <v>206</v>
      </c>
      <c r="C107" s="2">
        <v>32348</v>
      </c>
      <c r="D107" s="1" t="s">
        <v>19</v>
      </c>
      <c r="E107" s="1">
        <v>1129</v>
      </c>
      <c r="F107" s="1" t="s">
        <v>138</v>
      </c>
      <c r="G107" s="10">
        <v>14367</v>
      </c>
      <c r="H107" s="1" t="s">
        <v>139</v>
      </c>
      <c r="I107" s="2">
        <v>45547</v>
      </c>
      <c r="K107" s="1" t="s">
        <v>22</v>
      </c>
      <c r="L107" s="1" t="s">
        <v>22</v>
      </c>
      <c r="M107" s="14" t="str">
        <f>IF(Tabela1[[#This Row],[Data_Desligamento]]="","ATIVO","INATIVO")</f>
        <v>ATIVO</v>
      </c>
      <c r="N107" s="14" t="str">
        <f>TEXT(Tabela1[[#This Row],[Data_Admissão]],"mmm")</f>
        <v>set</v>
      </c>
      <c r="O107" s="14" t="str">
        <f>TEXT(Tabela1[[#This Row],[Data_Desligamento]],"mmm")</f>
        <v>jan</v>
      </c>
      <c r="P107" s="17">
        <f>YEAR(Tabela1[[#This Row],[Data_Admissão]])</f>
        <v>2024</v>
      </c>
      <c r="Q107" s="17" t="str">
        <f>IF(Tabela1[[#This Row],[Data_Desligamento]]="", "", YEAR(Tabela1[[#This Row],[Data_Desligamento]]))</f>
        <v/>
      </c>
      <c r="R107" s="17"/>
    </row>
    <row r="108" spans="1:18">
      <c r="A108" s="1">
        <v>107</v>
      </c>
      <c r="B108" s="1" t="s">
        <v>207</v>
      </c>
      <c r="C108" s="2">
        <v>35307</v>
      </c>
      <c r="D108" s="1" t="s">
        <v>19</v>
      </c>
      <c r="E108" s="1">
        <v>1058</v>
      </c>
      <c r="F108" s="1" t="s">
        <v>53</v>
      </c>
      <c r="G108" s="10">
        <v>3022</v>
      </c>
      <c r="H108" s="1" t="s">
        <v>54</v>
      </c>
      <c r="I108" s="2">
        <v>45551</v>
      </c>
      <c r="K108" s="1" t="s">
        <v>113</v>
      </c>
      <c r="L108" s="1" t="s">
        <v>22</v>
      </c>
      <c r="M108" s="14" t="str">
        <f>IF(Tabela1[[#This Row],[Data_Desligamento]]="","ATIVO","INATIVO")</f>
        <v>ATIVO</v>
      </c>
      <c r="N108" s="14" t="str">
        <f>TEXT(Tabela1[[#This Row],[Data_Admissão]],"mmm")</f>
        <v>set</v>
      </c>
      <c r="O108" s="14" t="str">
        <f>TEXT(Tabela1[[#This Row],[Data_Desligamento]],"mmm")</f>
        <v>jan</v>
      </c>
      <c r="P108" s="17">
        <f>YEAR(Tabela1[[#This Row],[Data_Admissão]])</f>
        <v>2024</v>
      </c>
      <c r="Q108" s="17" t="str">
        <f>IF(Tabela1[[#This Row],[Data_Desligamento]]="", "", YEAR(Tabela1[[#This Row],[Data_Desligamento]]))</f>
        <v/>
      </c>
      <c r="R108" s="17"/>
    </row>
    <row r="109" spans="1:18">
      <c r="A109" s="1">
        <v>108</v>
      </c>
      <c r="B109" s="1" t="s">
        <v>208</v>
      </c>
      <c r="C109" s="2">
        <v>33520</v>
      </c>
      <c r="D109" s="1" t="s">
        <v>19</v>
      </c>
      <c r="E109" s="1">
        <v>1153</v>
      </c>
      <c r="F109" s="1" t="s">
        <v>81</v>
      </c>
      <c r="G109" s="10">
        <v>1247</v>
      </c>
      <c r="H109" s="1" t="s">
        <v>45</v>
      </c>
      <c r="I109" s="2">
        <v>45551</v>
      </c>
      <c r="J109" s="2">
        <v>45825</v>
      </c>
      <c r="K109" s="1" t="s">
        <v>115</v>
      </c>
      <c r="L109" s="1" t="s">
        <v>209</v>
      </c>
      <c r="M109" s="14" t="str">
        <f>IF(Tabela1[[#This Row],[Data_Desligamento]]="","ATIVO","INATIVO")</f>
        <v>INATIVO</v>
      </c>
      <c r="N109" s="14" t="str">
        <f>TEXT(Tabela1[[#This Row],[Data_Admissão]],"mmm")</f>
        <v>set</v>
      </c>
      <c r="O109" s="14" t="str">
        <f>TEXT(Tabela1[[#This Row],[Data_Desligamento]],"mmm")</f>
        <v>jun</v>
      </c>
      <c r="P109" s="17">
        <f>YEAR(Tabela1[[#This Row],[Data_Admissão]])</f>
        <v>2024</v>
      </c>
      <c r="Q109" s="17">
        <f>IF(Tabela1[[#This Row],[Data_Desligamento]]="", "", YEAR(Tabela1[[#This Row],[Data_Desligamento]]))</f>
        <v>2025</v>
      </c>
      <c r="R109" s="17"/>
    </row>
    <row r="110" spans="1:18">
      <c r="A110" s="1">
        <v>109</v>
      </c>
      <c r="B110" s="1" t="s">
        <v>210</v>
      </c>
      <c r="C110" s="2">
        <v>32606</v>
      </c>
      <c r="D110" s="1" t="s">
        <v>19</v>
      </c>
      <c r="E110" s="1">
        <v>1310</v>
      </c>
      <c r="F110" s="1" t="s">
        <v>44</v>
      </c>
      <c r="G110" s="10">
        <v>5185</v>
      </c>
      <c r="H110" s="1" t="s">
        <v>45</v>
      </c>
      <c r="I110" s="2">
        <v>45556</v>
      </c>
      <c r="K110" s="1" t="s">
        <v>22</v>
      </c>
      <c r="L110" s="1" t="s">
        <v>22</v>
      </c>
      <c r="M110" s="14" t="str">
        <f>IF(Tabela1[[#This Row],[Data_Desligamento]]="","ATIVO","INATIVO")</f>
        <v>ATIVO</v>
      </c>
      <c r="N110" s="14" t="str">
        <f>TEXT(Tabela1[[#This Row],[Data_Admissão]],"mmm")</f>
        <v>set</v>
      </c>
      <c r="O110" s="14" t="str">
        <f>TEXT(Tabela1[[#This Row],[Data_Desligamento]],"mmm")</f>
        <v>jan</v>
      </c>
      <c r="P110" s="17">
        <f>YEAR(Tabela1[[#This Row],[Data_Admissão]])</f>
        <v>2024</v>
      </c>
      <c r="Q110" s="17" t="str">
        <f>IF(Tabela1[[#This Row],[Data_Desligamento]]="", "", YEAR(Tabela1[[#This Row],[Data_Desligamento]]))</f>
        <v/>
      </c>
      <c r="R110" s="17"/>
    </row>
    <row r="111" spans="1:18">
      <c r="A111" s="1">
        <v>110</v>
      </c>
      <c r="B111" s="1" t="s">
        <v>211</v>
      </c>
      <c r="C111" s="2">
        <v>34652</v>
      </c>
      <c r="D111" s="1" t="s">
        <v>19</v>
      </c>
      <c r="E111" s="1">
        <v>1203</v>
      </c>
      <c r="F111" s="1" t="s">
        <v>33</v>
      </c>
      <c r="G111" s="10">
        <v>5923</v>
      </c>
      <c r="H111" s="1" t="s">
        <v>34</v>
      </c>
      <c r="I111" s="2">
        <v>45557</v>
      </c>
      <c r="K111" s="1" t="s">
        <v>22</v>
      </c>
      <c r="L111" s="1" t="s">
        <v>22</v>
      </c>
      <c r="M111" s="14" t="str">
        <f>IF(Tabela1[[#This Row],[Data_Desligamento]]="","ATIVO","INATIVO")</f>
        <v>ATIVO</v>
      </c>
      <c r="N111" s="14" t="str">
        <f>TEXT(Tabela1[[#This Row],[Data_Admissão]],"mmm")</f>
        <v>set</v>
      </c>
      <c r="O111" s="14" t="str">
        <f>TEXT(Tabela1[[#This Row],[Data_Desligamento]],"mmm")</f>
        <v>jan</v>
      </c>
      <c r="P111" s="17">
        <f>YEAR(Tabela1[[#This Row],[Data_Admissão]])</f>
        <v>2024</v>
      </c>
      <c r="Q111" s="17" t="str">
        <f>IF(Tabela1[[#This Row],[Data_Desligamento]]="", "", YEAR(Tabela1[[#This Row],[Data_Desligamento]]))</f>
        <v/>
      </c>
      <c r="R111" s="17"/>
    </row>
    <row r="112" spans="1:18">
      <c r="A112" s="1">
        <v>111</v>
      </c>
      <c r="B112" s="1" t="s">
        <v>212</v>
      </c>
      <c r="C112" s="2">
        <v>35580</v>
      </c>
      <c r="D112" s="1" t="s">
        <v>19</v>
      </c>
      <c r="E112" s="1">
        <v>1163</v>
      </c>
      <c r="F112" s="1" t="s">
        <v>30</v>
      </c>
      <c r="G112" s="10">
        <v>11453</v>
      </c>
      <c r="H112" s="1" t="s">
        <v>31</v>
      </c>
      <c r="I112" s="2">
        <v>45560</v>
      </c>
      <c r="K112" s="1" t="s">
        <v>22</v>
      </c>
      <c r="L112" s="1" t="s">
        <v>22</v>
      </c>
      <c r="M112" s="14" t="str">
        <f>IF(Tabela1[[#This Row],[Data_Desligamento]]="","ATIVO","INATIVO")</f>
        <v>ATIVO</v>
      </c>
      <c r="N112" s="14" t="str">
        <f>TEXT(Tabela1[[#This Row],[Data_Admissão]],"mmm")</f>
        <v>set</v>
      </c>
      <c r="O112" s="14" t="str">
        <f>TEXT(Tabela1[[#This Row],[Data_Desligamento]],"mmm")</f>
        <v>jan</v>
      </c>
      <c r="P112" s="17">
        <f>YEAR(Tabela1[[#This Row],[Data_Admissão]])</f>
        <v>2024</v>
      </c>
      <c r="Q112" s="17" t="str">
        <f>IF(Tabela1[[#This Row],[Data_Desligamento]]="", "", YEAR(Tabela1[[#This Row],[Data_Desligamento]]))</f>
        <v/>
      </c>
      <c r="R112" s="17"/>
    </row>
    <row r="113" spans="1:18">
      <c r="A113" s="1">
        <v>112</v>
      </c>
      <c r="B113" s="1" t="s">
        <v>213</v>
      </c>
      <c r="C113" s="2">
        <v>32608</v>
      </c>
      <c r="D113" s="1" t="s">
        <v>19</v>
      </c>
      <c r="E113" s="1">
        <v>1054</v>
      </c>
      <c r="F113" s="1" t="s">
        <v>48</v>
      </c>
      <c r="G113" s="10">
        <v>4122</v>
      </c>
      <c r="H113" s="1" t="s">
        <v>26</v>
      </c>
      <c r="I113" s="2">
        <v>45567</v>
      </c>
      <c r="K113" s="1" t="s">
        <v>118</v>
      </c>
      <c r="L113" s="1" t="s">
        <v>22</v>
      </c>
      <c r="M113" s="14" t="str">
        <f>IF(Tabela1[[#This Row],[Data_Desligamento]]="","ATIVO","INATIVO")</f>
        <v>ATIVO</v>
      </c>
      <c r="N113" s="14" t="str">
        <f>TEXT(Tabela1[[#This Row],[Data_Admissão]],"mmm")</f>
        <v>out</v>
      </c>
      <c r="O113" s="14" t="str">
        <f>TEXT(Tabela1[[#This Row],[Data_Desligamento]],"mmm")</f>
        <v>jan</v>
      </c>
      <c r="P113" s="17">
        <f>YEAR(Tabela1[[#This Row],[Data_Admissão]])</f>
        <v>2024</v>
      </c>
      <c r="Q113" s="17" t="str">
        <f>IF(Tabela1[[#This Row],[Data_Desligamento]]="", "", YEAR(Tabela1[[#This Row],[Data_Desligamento]]))</f>
        <v/>
      </c>
      <c r="R113" s="17"/>
    </row>
    <row r="114" spans="1:18">
      <c r="A114" s="1">
        <v>113</v>
      </c>
      <c r="B114" s="1" t="s">
        <v>106</v>
      </c>
      <c r="C114" s="2">
        <v>25604</v>
      </c>
      <c r="D114" s="1" t="s">
        <v>19</v>
      </c>
      <c r="E114" s="1">
        <v>1270</v>
      </c>
      <c r="F114" s="1" t="s">
        <v>53</v>
      </c>
      <c r="G114" s="10">
        <v>3368</v>
      </c>
      <c r="H114" s="1" t="s">
        <v>54</v>
      </c>
      <c r="I114" s="2">
        <v>45569</v>
      </c>
      <c r="K114" s="1" t="s">
        <v>22</v>
      </c>
      <c r="L114" s="1" t="s">
        <v>22</v>
      </c>
      <c r="M114" s="14" t="str">
        <f>IF(Tabela1[[#This Row],[Data_Desligamento]]="","ATIVO","INATIVO")</f>
        <v>ATIVO</v>
      </c>
      <c r="N114" s="14" t="str">
        <f>TEXT(Tabela1[[#This Row],[Data_Admissão]],"mmm")</f>
        <v>out</v>
      </c>
      <c r="O114" s="14" t="str">
        <f>TEXT(Tabela1[[#This Row],[Data_Desligamento]],"mmm")</f>
        <v>jan</v>
      </c>
      <c r="P114" s="17">
        <f>YEAR(Tabela1[[#This Row],[Data_Admissão]])</f>
        <v>2024</v>
      </c>
      <c r="Q114" s="17" t="str">
        <f>IF(Tabela1[[#This Row],[Data_Desligamento]]="", "", YEAR(Tabela1[[#This Row],[Data_Desligamento]]))</f>
        <v/>
      </c>
      <c r="R114" s="17"/>
    </row>
    <row r="115" spans="1:18">
      <c r="A115" s="1">
        <v>114</v>
      </c>
      <c r="B115" s="1" t="s">
        <v>214</v>
      </c>
      <c r="C115" s="2">
        <v>36180</v>
      </c>
      <c r="D115" s="1" t="s">
        <v>19</v>
      </c>
      <c r="E115" s="1">
        <v>1337</v>
      </c>
      <c r="F115" s="1" t="s">
        <v>68</v>
      </c>
      <c r="G115" s="10">
        <v>2418</v>
      </c>
      <c r="H115" s="1" t="s">
        <v>54</v>
      </c>
      <c r="I115" s="2">
        <v>45570</v>
      </c>
      <c r="K115" s="1" t="s">
        <v>120</v>
      </c>
      <c r="L115" s="1" t="s">
        <v>22</v>
      </c>
      <c r="M115" s="14" t="str">
        <f>IF(Tabela1[[#This Row],[Data_Desligamento]]="","ATIVO","INATIVO")</f>
        <v>ATIVO</v>
      </c>
      <c r="N115" s="14" t="str">
        <f>TEXT(Tabela1[[#This Row],[Data_Admissão]],"mmm")</f>
        <v>out</v>
      </c>
      <c r="O115" s="14" t="str">
        <f>TEXT(Tabela1[[#This Row],[Data_Desligamento]],"mmm")</f>
        <v>jan</v>
      </c>
      <c r="P115" s="17">
        <f>YEAR(Tabela1[[#This Row],[Data_Admissão]])</f>
        <v>2024</v>
      </c>
      <c r="Q115" s="17" t="str">
        <f>IF(Tabela1[[#This Row],[Data_Desligamento]]="", "", YEAR(Tabela1[[#This Row],[Data_Desligamento]]))</f>
        <v/>
      </c>
      <c r="R115" s="17"/>
    </row>
    <row r="116" spans="1:18">
      <c r="A116" s="1">
        <v>115</v>
      </c>
      <c r="B116" s="1" t="s">
        <v>215</v>
      </c>
      <c r="C116" s="2">
        <v>35258</v>
      </c>
      <c r="D116" s="1" t="s">
        <v>19</v>
      </c>
      <c r="E116" s="1">
        <v>1182</v>
      </c>
      <c r="F116" s="1" t="s">
        <v>63</v>
      </c>
      <c r="G116" s="10">
        <v>7107</v>
      </c>
      <c r="H116" s="1" t="s">
        <v>21</v>
      </c>
      <c r="I116" s="2">
        <v>45580</v>
      </c>
      <c r="K116" s="1" t="s">
        <v>123</v>
      </c>
      <c r="L116" s="1" t="s">
        <v>22</v>
      </c>
      <c r="M116" s="14" t="str">
        <f>IF(Tabela1[[#This Row],[Data_Desligamento]]="","ATIVO","INATIVO")</f>
        <v>ATIVO</v>
      </c>
      <c r="N116" s="14" t="str">
        <f>TEXT(Tabela1[[#This Row],[Data_Admissão]],"mmm")</f>
        <v>out</v>
      </c>
      <c r="O116" s="14" t="str">
        <f>TEXT(Tabela1[[#This Row],[Data_Desligamento]],"mmm")</f>
        <v>jan</v>
      </c>
      <c r="P116" s="17">
        <f>YEAR(Tabela1[[#This Row],[Data_Admissão]])</f>
        <v>2024</v>
      </c>
      <c r="Q116" s="17" t="str">
        <f>IF(Tabela1[[#This Row],[Data_Desligamento]]="", "", YEAR(Tabela1[[#This Row],[Data_Desligamento]]))</f>
        <v/>
      </c>
      <c r="R116" s="17"/>
    </row>
    <row r="117" spans="1:18">
      <c r="A117" s="1">
        <v>116</v>
      </c>
      <c r="B117" s="1" t="s">
        <v>216</v>
      </c>
      <c r="C117" s="2">
        <v>31024</v>
      </c>
      <c r="D117" s="1" t="s">
        <v>19</v>
      </c>
      <c r="E117" s="1">
        <v>1341</v>
      </c>
      <c r="F117" s="1" t="s">
        <v>81</v>
      </c>
      <c r="G117" s="10">
        <v>1416</v>
      </c>
      <c r="H117" s="1" t="s">
        <v>45</v>
      </c>
      <c r="I117" s="2">
        <v>45584</v>
      </c>
      <c r="K117" s="1" t="s">
        <v>22</v>
      </c>
      <c r="L117" s="1" t="s">
        <v>22</v>
      </c>
      <c r="M117" s="14" t="str">
        <f>IF(Tabela1[[#This Row],[Data_Desligamento]]="","ATIVO","INATIVO")</f>
        <v>ATIVO</v>
      </c>
      <c r="N117" s="14" t="str">
        <f>TEXT(Tabela1[[#This Row],[Data_Admissão]],"mmm")</f>
        <v>out</v>
      </c>
      <c r="O117" s="14" t="str">
        <f>TEXT(Tabela1[[#This Row],[Data_Desligamento]],"mmm")</f>
        <v>jan</v>
      </c>
      <c r="P117" s="17">
        <f>YEAR(Tabela1[[#This Row],[Data_Admissão]])</f>
        <v>2024</v>
      </c>
      <c r="Q117" s="17" t="str">
        <f>IF(Tabela1[[#This Row],[Data_Desligamento]]="", "", YEAR(Tabela1[[#This Row],[Data_Desligamento]]))</f>
        <v/>
      </c>
      <c r="R117" s="17"/>
    </row>
    <row r="118" spans="1:18">
      <c r="A118" s="1">
        <v>117</v>
      </c>
      <c r="B118" s="1" t="s">
        <v>217</v>
      </c>
      <c r="C118" s="2">
        <v>34871</v>
      </c>
      <c r="D118" s="1" t="s">
        <v>19</v>
      </c>
      <c r="E118" s="1">
        <v>1029</v>
      </c>
      <c r="F118" s="1" t="s">
        <v>30</v>
      </c>
      <c r="G118" s="10">
        <v>11643</v>
      </c>
      <c r="H118" s="1" t="s">
        <v>31</v>
      </c>
      <c r="I118" s="2">
        <v>45585</v>
      </c>
      <c r="K118" s="1" t="s">
        <v>125</v>
      </c>
      <c r="L118" s="1" t="s">
        <v>22</v>
      </c>
      <c r="M118" s="14" t="str">
        <f>IF(Tabela1[[#This Row],[Data_Desligamento]]="","ATIVO","INATIVO")</f>
        <v>ATIVO</v>
      </c>
      <c r="N118" s="14" t="str">
        <f>TEXT(Tabela1[[#This Row],[Data_Admissão]],"mmm")</f>
        <v>out</v>
      </c>
      <c r="O118" s="14" t="str">
        <f>TEXT(Tabela1[[#This Row],[Data_Desligamento]],"mmm")</f>
        <v>jan</v>
      </c>
      <c r="P118" s="17">
        <f>YEAR(Tabela1[[#This Row],[Data_Admissão]])</f>
        <v>2024</v>
      </c>
      <c r="Q118" s="17" t="str">
        <f>IF(Tabela1[[#This Row],[Data_Desligamento]]="", "", YEAR(Tabela1[[#This Row],[Data_Desligamento]]))</f>
        <v/>
      </c>
      <c r="R118" s="17"/>
    </row>
    <row r="119" spans="1:18">
      <c r="A119" s="1">
        <v>118</v>
      </c>
      <c r="B119" s="1" t="s">
        <v>218</v>
      </c>
      <c r="C119" s="2">
        <v>33522</v>
      </c>
      <c r="D119" s="1" t="s">
        <v>19</v>
      </c>
      <c r="E119" s="1">
        <v>1057</v>
      </c>
      <c r="F119" s="1" t="s">
        <v>57</v>
      </c>
      <c r="G119" s="10">
        <v>6462</v>
      </c>
      <c r="H119" s="1" t="s">
        <v>34</v>
      </c>
      <c r="I119" s="2">
        <v>45587</v>
      </c>
      <c r="K119" s="1" t="s">
        <v>127</v>
      </c>
      <c r="L119" s="1" t="s">
        <v>22</v>
      </c>
      <c r="M119" s="14" t="str">
        <f>IF(Tabela1[[#This Row],[Data_Desligamento]]="","ATIVO","INATIVO")</f>
        <v>ATIVO</v>
      </c>
      <c r="N119" s="14" t="str">
        <f>TEXT(Tabela1[[#This Row],[Data_Admissão]],"mmm")</f>
        <v>out</v>
      </c>
      <c r="O119" s="14" t="str">
        <f>TEXT(Tabela1[[#This Row],[Data_Desligamento]],"mmm")</f>
        <v>jan</v>
      </c>
      <c r="P119" s="17">
        <f>YEAR(Tabela1[[#This Row],[Data_Admissão]])</f>
        <v>2024</v>
      </c>
      <c r="Q119" s="17" t="str">
        <f>IF(Tabela1[[#This Row],[Data_Desligamento]]="", "", YEAR(Tabela1[[#This Row],[Data_Desligamento]]))</f>
        <v/>
      </c>
      <c r="R119" s="17"/>
    </row>
    <row r="120" spans="1:18">
      <c r="A120" s="1">
        <v>119</v>
      </c>
      <c r="B120" s="1" t="s">
        <v>219</v>
      </c>
      <c r="C120" s="2">
        <v>28231</v>
      </c>
      <c r="D120" s="1" t="s">
        <v>19</v>
      </c>
      <c r="E120" s="1">
        <v>1109</v>
      </c>
      <c r="F120" s="1" t="s">
        <v>20</v>
      </c>
      <c r="G120" s="10">
        <v>3415</v>
      </c>
      <c r="H120" s="1" t="s">
        <v>21</v>
      </c>
      <c r="I120" s="2">
        <v>45590</v>
      </c>
      <c r="K120" s="1" t="s">
        <v>22</v>
      </c>
      <c r="L120" s="1" t="s">
        <v>22</v>
      </c>
      <c r="M120" s="14" t="str">
        <f>IF(Tabela1[[#This Row],[Data_Desligamento]]="","ATIVO","INATIVO")</f>
        <v>ATIVO</v>
      </c>
      <c r="N120" s="14" t="str">
        <f>TEXT(Tabela1[[#This Row],[Data_Admissão]],"mmm")</f>
        <v>out</v>
      </c>
      <c r="O120" s="14" t="str">
        <f>TEXT(Tabela1[[#This Row],[Data_Desligamento]],"mmm")</f>
        <v>jan</v>
      </c>
      <c r="P120" s="17">
        <f>YEAR(Tabela1[[#This Row],[Data_Admissão]])</f>
        <v>2024</v>
      </c>
      <c r="Q120" s="17" t="str">
        <f>IF(Tabela1[[#This Row],[Data_Desligamento]]="", "", YEAR(Tabela1[[#This Row],[Data_Desligamento]]))</f>
        <v/>
      </c>
      <c r="R120" s="17"/>
    </row>
    <row r="121" spans="1:18">
      <c r="A121" s="1">
        <v>120</v>
      </c>
      <c r="B121" s="1" t="s">
        <v>220</v>
      </c>
      <c r="C121" s="2">
        <v>27044</v>
      </c>
      <c r="D121" s="1" t="s">
        <v>19</v>
      </c>
      <c r="E121" s="1">
        <v>1083</v>
      </c>
      <c r="F121" s="1" t="s">
        <v>57</v>
      </c>
      <c r="G121" s="10">
        <v>7459</v>
      </c>
      <c r="H121" s="1" t="s">
        <v>34</v>
      </c>
      <c r="I121" s="2">
        <v>45592</v>
      </c>
      <c r="K121" s="1" t="s">
        <v>130</v>
      </c>
      <c r="L121" s="1" t="s">
        <v>22</v>
      </c>
      <c r="M121" s="14" t="str">
        <f>IF(Tabela1[[#This Row],[Data_Desligamento]]="","ATIVO","INATIVO")</f>
        <v>ATIVO</v>
      </c>
      <c r="N121" s="14" t="str">
        <f>TEXT(Tabela1[[#This Row],[Data_Admissão]],"mmm")</f>
        <v>out</v>
      </c>
      <c r="O121" s="14" t="str">
        <f>TEXT(Tabela1[[#This Row],[Data_Desligamento]],"mmm")</f>
        <v>jan</v>
      </c>
      <c r="P121" s="17">
        <f>YEAR(Tabela1[[#This Row],[Data_Admissão]])</f>
        <v>2024</v>
      </c>
      <c r="Q121" s="17" t="str">
        <f>IF(Tabela1[[#This Row],[Data_Desligamento]]="", "", YEAR(Tabela1[[#This Row],[Data_Desligamento]]))</f>
        <v/>
      </c>
      <c r="R121" s="17"/>
    </row>
    <row r="122" spans="1:18">
      <c r="A122" s="1">
        <v>121</v>
      </c>
      <c r="B122" s="1" t="s">
        <v>172</v>
      </c>
      <c r="C122" s="2">
        <v>34812</v>
      </c>
      <c r="D122" s="1" t="s">
        <v>19</v>
      </c>
      <c r="E122" s="1">
        <v>1031</v>
      </c>
      <c r="F122" s="1" t="s">
        <v>44</v>
      </c>
      <c r="G122" s="10">
        <v>7640</v>
      </c>
      <c r="H122" s="1" t="s">
        <v>45</v>
      </c>
      <c r="I122" s="2">
        <v>45594</v>
      </c>
      <c r="J122" s="2">
        <v>45738</v>
      </c>
      <c r="K122" s="1" t="s">
        <v>133</v>
      </c>
      <c r="L122" s="1" t="s">
        <v>221</v>
      </c>
      <c r="M122" s="14" t="str">
        <f>IF(Tabela1[[#This Row],[Data_Desligamento]]="","ATIVO","INATIVO")</f>
        <v>INATIVO</v>
      </c>
      <c r="N122" s="14" t="str">
        <f>TEXT(Tabela1[[#This Row],[Data_Admissão]],"mmm")</f>
        <v>out</v>
      </c>
      <c r="O122" s="14" t="str">
        <f>TEXT(Tabela1[[#This Row],[Data_Desligamento]],"mmm")</f>
        <v>mar</v>
      </c>
      <c r="P122" s="17">
        <f>YEAR(Tabela1[[#This Row],[Data_Admissão]])</f>
        <v>2024</v>
      </c>
      <c r="Q122" s="17">
        <f>IF(Tabela1[[#This Row],[Data_Desligamento]]="", "", YEAR(Tabela1[[#This Row],[Data_Desligamento]]))</f>
        <v>2025</v>
      </c>
      <c r="R122" s="17"/>
    </row>
    <row r="123" spans="1:18">
      <c r="A123" s="1">
        <v>122</v>
      </c>
      <c r="B123" s="1" t="s">
        <v>222</v>
      </c>
      <c r="C123" s="2">
        <v>34972</v>
      </c>
      <c r="D123" s="1" t="s">
        <v>19</v>
      </c>
      <c r="E123" s="1">
        <v>1322</v>
      </c>
      <c r="F123" s="1" t="s">
        <v>57</v>
      </c>
      <c r="G123" s="10">
        <v>5130</v>
      </c>
      <c r="H123" s="1" t="s">
        <v>34</v>
      </c>
      <c r="I123" s="2">
        <v>45594</v>
      </c>
      <c r="K123" s="1" t="s">
        <v>135</v>
      </c>
      <c r="L123" s="1" t="s">
        <v>22</v>
      </c>
      <c r="M123" s="14" t="str">
        <f>IF(Tabela1[[#This Row],[Data_Desligamento]]="","ATIVO","INATIVO")</f>
        <v>ATIVO</v>
      </c>
      <c r="N123" s="14" t="str">
        <f>TEXT(Tabela1[[#This Row],[Data_Admissão]],"mmm")</f>
        <v>out</v>
      </c>
      <c r="O123" s="14" t="str">
        <f>TEXT(Tabela1[[#This Row],[Data_Desligamento]],"mmm")</f>
        <v>jan</v>
      </c>
      <c r="P123" s="17">
        <f>YEAR(Tabela1[[#This Row],[Data_Admissão]])</f>
        <v>2024</v>
      </c>
      <c r="Q123" s="17" t="str">
        <f>IF(Tabela1[[#This Row],[Data_Desligamento]]="", "", YEAR(Tabela1[[#This Row],[Data_Desligamento]]))</f>
        <v/>
      </c>
      <c r="R123" s="17"/>
    </row>
    <row r="124" spans="1:18">
      <c r="A124" s="1">
        <v>123</v>
      </c>
      <c r="B124" s="1" t="s">
        <v>223</v>
      </c>
      <c r="C124" s="2">
        <v>30752</v>
      </c>
      <c r="D124" s="1" t="s">
        <v>19</v>
      </c>
      <c r="E124" s="1">
        <v>1073</v>
      </c>
      <c r="F124" s="1" t="s">
        <v>33</v>
      </c>
      <c r="G124" s="10">
        <v>4177</v>
      </c>
      <c r="H124" s="1" t="s">
        <v>34</v>
      </c>
      <c r="I124" s="2">
        <v>45603</v>
      </c>
      <c r="K124" s="1" t="s">
        <v>140</v>
      </c>
      <c r="L124" s="1" t="s">
        <v>22</v>
      </c>
      <c r="M124" s="14" t="str">
        <f>IF(Tabela1[[#This Row],[Data_Desligamento]]="","ATIVO","INATIVO")</f>
        <v>ATIVO</v>
      </c>
      <c r="N124" s="14" t="str">
        <f>TEXT(Tabela1[[#This Row],[Data_Admissão]],"mmm")</f>
        <v>nov</v>
      </c>
      <c r="O124" s="14" t="str">
        <f>TEXT(Tabela1[[#This Row],[Data_Desligamento]],"mmm")</f>
        <v>jan</v>
      </c>
      <c r="P124" s="17">
        <f>YEAR(Tabela1[[#This Row],[Data_Admissão]])</f>
        <v>2024</v>
      </c>
      <c r="Q124" s="17" t="str">
        <f>IF(Tabela1[[#This Row],[Data_Desligamento]]="", "", YEAR(Tabela1[[#This Row],[Data_Desligamento]]))</f>
        <v/>
      </c>
      <c r="R124" s="17"/>
    </row>
    <row r="125" spans="1:18">
      <c r="A125" s="1">
        <v>124</v>
      </c>
      <c r="B125" s="1" t="s">
        <v>29</v>
      </c>
      <c r="C125" s="2">
        <v>34935</v>
      </c>
      <c r="D125" s="1" t="s">
        <v>19</v>
      </c>
      <c r="E125" s="1">
        <v>1308</v>
      </c>
      <c r="F125" s="1" t="s">
        <v>63</v>
      </c>
      <c r="G125" s="10">
        <v>10396</v>
      </c>
      <c r="H125" s="1" t="s">
        <v>21</v>
      </c>
      <c r="I125" s="2">
        <v>45609</v>
      </c>
      <c r="K125" s="1" t="s">
        <v>22</v>
      </c>
      <c r="L125" s="1" t="s">
        <v>22</v>
      </c>
      <c r="M125" s="14" t="str">
        <f>IF(Tabela1[[#This Row],[Data_Desligamento]]="","ATIVO","INATIVO")</f>
        <v>ATIVO</v>
      </c>
      <c r="N125" s="14" t="str">
        <f>TEXT(Tabela1[[#This Row],[Data_Admissão]],"mmm")</f>
        <v>nov</v>
      </c>
      <c r="O125" s="14" t="str">
        <f>TEXT(Tabela1[[#This Row],[Data_Desligamento]],"mmm")</f>
        <v>jan</v>
      </c>
      <c r="P125" s="17">
        <f>YEAR(Tabela1[[#This Row],[Data_Admissão]])</f>
        <v>2024</v>
      </c>
      <c r="Q125" s="17" t="str">
        <f>IF(Tabela1[[#This Row],[Data_Desligamento]]="", "", YEAR(Tabela1[[#This Row],[Data_Desligamento]]))</f>
        <v/>
      </c>
      <c r="R125" s="17"/>
    </row>
    <row r="126" spans="1:18">
      <c r="A126" s="1">
        <v>125</v>
      </c>
      <c r="B126" s="1" t="s">
        <v>224</v>
      </c>
      <c r="C126" s="2">
        <v>25925</v>
      </c>
      <c r="D126" s="1" t="s">
        <v>19</v>
      </c>
      <c r="E126" s="1">
        <v>1148</v>
      </c>
      <c r="F126" s="1" t="s">
        <v>53</v>
      </c>
      <c r="G126" s="10">
        <v>3092</v>
      </c>
      <c r="H126" s="1" t="s">
        <v>54</v>
      </c>
      <c r="I126" s="2">
        <v>45614</v>
      </c>
      <c r="K126" s="1" t="s">
        <v>142</v>
      </c>
      <c r="L126" s="1" t="s">
        <v>22</v>
      </c>
      <c r="M126" s="14" t="str">
        <f>IF(Tabela1[[#This Row],[Data_Desligamento]]="","ATIVO","INATIVO")</f>
        <v>ATIVO</v>
      </c>
      <c r="N126" s="14" t="str">
        <f>TEXT(Tabela1[[#This Row],[Data_Admissão]],"mmm")</f>
        <v>nov</v>
      </c>
      <c r="O126" s="14" t="str">
        <f>TEXT(Tabela1[[#This Row],[Data_Desligamento]],"mmm")</f>
        <v>jan</v>
      </c>
      <c r="P126" s="17">
        <f>YEAR(Tabela1[[#This Row],[Data_Admissão]])</f>
        <v>2024</v>
      </c>
      <c r="Q126" s="17" t="str">
        <f>IF(Tabela1[[#This Row],[Data_Desligamento]]="", "", YEAR(Tabela1[[#This Row],[Data_Desligamento]]))</f>
        <v/>
      </c>
      <c r="R126" s="17"/>
    </row>
    <row r="127" spans="1:18">
      <c r="A127" s="1">
        <v>126</v>
      </c>
      <c r="B127" s="1" t="s">
        <v>225</v>
      </c>
      <c r="C127" s="2">
        <v>34585</v>
      </c>
      <c r="D127" s="1" t="s">
        <v>19</v>
      </c>
      <c r="E127" s="1">
        <v>1295</v>
      </c>
      <c r="F127" s="1" t="s">
        <v>44</v>
      </c>
      <c r="G127" s="10">
        <v>3620</v>
      </c>
      <c r="H127" s="1" t="s">
        <v>45</v>
      </c>
      <c r="I127" s="2">
        <v>45615</v>
      </c>
      <c r="K127" s="1" t="s">
        <v>22</v>
      </c>
      <c r="L127" s="1" t="s">
        <v>22</v>
      </c>
      <c r="M127" s="14" t="str">
        <f>IF(Tabela1[[#This Row],[Data_Desligamento]]="","ATIVO","INATIVO")</f>
        <v>ATIVO</v>
      </c>
      <c r="N127" s="14" t="str">
        <f>TEXT(Tabela1[[#This Row],[Data_Admissão]],"mmm")</f>
        <v>nov</v>
      </c>
      <c r="O127" s="14" t="str">
        <f>TEXT(Tabela1[[#This Row],[Data_Desligamento]],"mmm")</f>
        <v>jan</v>
      </c>
      <c r="P127" s="17">
        <f>YEAR(Tabela1[[#This Row],[Data_Admissão]])</f>
        <v>2024</v>
      </c>
      <c r="Q127" s="17" t="str">
        <f>IF(Tabela1[[#This Row],[Data_Desligamento]]="", "", YEAR(Tabela1[[#This Row],[Data_Desligamento]]))</f>
        <v/>
      </c>
      <c r="R127" s="17"/>
    </row>
    <row r="128" spans="1:18">
      <c r="A128" s="1">
        <v>127</v>
      </c>
      <c r="B128" s="1" t="s">
        <v>226</v>
      </c>
      <c r="C128" s="2">
        <v>25665</v>
      </c>
      <c r="D128" s="1" t="s">
        <v>19</v>
      </c>
      <c r="E128" s="1">
        <v>1260</v>
      </c>
      <c r="F128" s="1" t="s">
        <v>53</v>
      </c>
      <c r="G128" s="10">
        <v>3916</v>
      </c>
      <c r="H128" s="1" t="s">
        <v>54</v>
      </c>
      <c r="I128" s="2">
        <v>45617</v>
      </c>
      <c r="K128" s="1" t="s">
        <v>22</v>
      </c>
      <c r="L128" s="1" t="s">
        <v>22</v>
      </c>
      <c r="M128" s="14" t="str">
        <f>IF(Tabela1[[#This Row],[Data_Desligamento]]="","ATIVO","INATIVO")</f>
        <v>ATIVO</v>
      </c>
      <c r="N128" s="14" t="str">
        <f>TEXT(Tabela1[[#This Row],[Data_Admissão]],"mmm")</f>
        <v>nov</v>
      </c>
      <c r="O128" s="14" t="str">
        <f>TEXT(Tabela1[[#This Row],[Data_Desligamento]],"mmm")</f>
        <v>jan</v>
      </c>
      <c r="P128" s="17">
        <f>YEAR(Tabela1[[#This Row],[Data_Admissão]])</f>
        <v>2024</v>
      </c>
      <c r="Q128" s="17" t="str">
        <f>IF(Tabela1[[#This Row],[Data_Desligamento]]="", "", YEAR(Tabela1[[#This Row],[Data_Desligamento]]))</f>
        <v/>
      </c>
      <c r="R128" s="17"/>
    </row>
    <row r="129" spans="1:18">
      <c r="A129" s="1">
        <v>128</v>
      </c>
      <c r="B129" s="1" t="s">
        <v>227</v>
      </c>
      <c r="C129" s="2">
        <v>30988</v>
      </c>
      <c r="D129" s="1" t="s">
        <v>19</v>
      </c>
      <c r="E129" s="1">
        <v>1307</v>
      </c>
      <c r="F129" s="1" t="s">
        <v>38</v>
      </c>
      <c r="G129" s="10">
        <v>13438</v>
      </c>
      <c r="H129" s="1" t="s">
        <v>39</v>
      </c>
      <c r="I129" s="2">
        <v>45618</v>
      </c>
      <c r="K129" s="1" t="s">
        <v>146</v>
      </c>
      <c r="L129" s="1" t="s">
        <v>22</v>
      </c>
      <c r="M129" s="14" t="str">
        <f>IF(Tabela1[[#This Row],[Data_Desligamento]]="","ATIVO","INATIVO")</f>
        <v>ATIVO</v>
      </c>
      <c r="N129" s="14" t="str">
        <f>TEXT(Tabela1[[#This Row],[Data_Admissão]],"mmm")</f>
        <v>nov</v>
      </c>
      <c r="O129" s="14" t="str">
        <f>TEXT(Tabela1[[#This Row],[Data_Desligamento]],"mmm")</f>
        <v>jan</v>
      </c>
      <c r="P129" s="17">
        <f>YEAR(Tabela1[[#This Row],[Data_Admissão]])</f>
        <v>2024</v>
      </c>
      <c r="Q129" s="17" t="str">
        <f>IF(Tabela1[[#This Row],[Data_Desligamento]]="", "", YEAR(Tabela1[[#This Row],[Data_Desligamento]]))</f>
        <v/>
      </c>
      <c r="R129" s="17"/>
    </row>
    <row r="130" spans="1:18">
      <c r="A130" s="1">
        <v>129</v>
      </c>
      <c r="B130" s="1" t="s">
        <v>228</v>
      </c>
      <c r="C130" s="2">
        <v>36164</v>
      </c>
      <c r="D130" s="1" t="s">
        <v>19</v>
      </c>
      <c r="E130" s="1">
        <v>1205</v>
      </c>
      <c r="F130" s="1" t="s">
        <v>81</v>
      </c>
      <c r="G130" s="10">
        <v>1579</v>
      </c>
      <c r="H130" s="1" t="s">
        <v>45</v>
      </c>
      <c r="I130" s="2">
        <v>45619</v>
      </c>
      <c r="J130" s="2">
        <v>45680</v>
      </c>
      <c r="K130" s="1" t="s">
        <v>148</v>
      </c>
      <c r="L130" s="1" t="s">
        <v>229</v>
      </c>
      <c r="M130" s="14" t="str">
        <f>IF(Tabela1[[#This Row],[Data_Desligamento]]="","ATIVO","INATIVO")</f>
        <v>INATIVO</v>
      </c>
      <c r="N130" s="14" t="str">
        <f>TEXT(Tabela1[[#This Row],[Data_Admissão]],"mmm")</f>
        <v>nov</v>
      </c>
      <c r="O130" s="14" t="str">
        <f>TEXT(Tabela1[[#This Row],[Data_Desligamento]],"mmm")</f>
        <v>jan</v>
      </c>
      <c r="P130" s="17">
        <f>YEAR(Tabela1[[#This Row],[Data_Admissão]])</f>
        <v>2024</v>
      </c>
      <c r="Q130" s="17">
        <f>IF(Tabela1[[#This Row],[Data_Desligamento]]="", "", YEAR(Tabela1[[#This Row],[Data_Desligamento]]))</f>
        <v>2025</v>
      </c>
      <c r="R130" s="17"/>
    </row>
    <row r="131" spans="1:18">
      <c r="A131" s="1">
        <v>130</v>
      </c>
      <c r="B131" s="1" t="s">
        <v>230</v>
      </c>
      <c r="C131" s="2">
        <v>36045</v>
      </c>
      <c r="D131" s="1" t="s">
        <v>19</v>
      </c>
      <c r="E131" s="1">
        <v>1015</v>
      </c>
      <c r="F131" s="1" t="s">
        <v>44</v>
      </c>
      <c r="G131" s="10">
        <v>5506</v>
      </c>
      <c r="H131" s="1" t="s">
        <v>45</v>
      </c>
      <c r="I131" s="2">
        <v>45633</v>
      </c>
      <c r="K131" s="1" t="s">
        <v>22</v>
      </c>
      <c r="L131" s="1" t="s">
        <v>22</v>
      </c>
      <c r="M131" s="14" t="str">
        <f>IF(Tabela1[[#This Row],[Data_Desligamento]]="","ATIVO","INATIVO")</f>
        <v>ATIVO</v>
      </c>
      <c r="N131" s="14" t="str">
        <f>TEXT(Tabela1[[#This Row],[Data_Admissão]],"mmm")</f>
        <v>dez</v>
      </c>
      <c r="O131" s="14" t="str">
        <f>TEXT(Tabela1[[#This Row],[Data_Desligamento]],"mmm")</f>
        <v>jan</v>
      </c>
      <c r="P131" s="17">
        <f>YEAR(Tabela1[[#This Row],[Data_Admissão]])</f>
        <v>2024</v>
      </c>
      <c r="Q131" s="17" t="str">
        <f>IF(Tabela1[[#This Row],[Data_Desligamento]]="", "", YEAR(Tabela1[[#This Row],[Data_Desligamento]]))</f>
        <v/>
      </c>
      <c r="R131" s="17"/>
    </row>
    <row r="132" spans="1:18">
      <c r="A132" s="1">
        <v>131</v>
      </c>
      <c r="B132" s="1" t="s">
        <v>231</v>
      </c>
      <c r="C132" s="2">
        <v>36220</v>
      </c>
      <c r="D132" s="1" t="s">
        <v>19</v>
      </c>
      <c r="E132" s="1">
        <v>1038</v>
      </c>
      <c r="F132" s="1" t="s">
        <v>138</v>
      </c>
      <c r="G132" s="10">
        <v>5708</v>
      </c>
      <c r="H132" s="1" t="s">
        <v>139</v>
      </c>
      <c r="I132" s="2">
        <v>45633</v>
      </c>
      <c r="K132" s="1" t="s">
        <v>151</v>
      </c>
      <c r="L132" s="1" t="s">
        <v>22</v>
      </c>
      <c r="M132" s="14" t="str">
        <f>IF(Tabela1[[#This Row],[Data_Desligamento]]="","ATIVO","INATIVO")</f>
        <v>ATIVO</v>
      </c>
      <c r="N132" s="14" t="str">
        <f>TEXT(Tabela1[[#This Row],[Data_Admissão]],"mmm")</f>
        <v>dez</v>
      </c>
      <c r="O132" s="14" t="str">
        <f>TEXT(Tabela1[[#This Row],[Data_Desligamento]],"mmm")</f>
        <v>jan</v>
      </c>
      <c r="P132" s="17">
        <f>YEAR(Tabela1[[#This Row],[Data_Admissão]])</f>
        <v>2024</v>
      </c>
      <c r="Q132" s="17" t="str">
        <f>IF(Tabela1[[#This Row],[Data_Desligamento]]="", "", YEAR(Tabela1[[#This Row],[Data_Desligamento]]))</f>
        <v/>
      </c>
      <c r="R132" s="17"/>
    </row>
    <row r="133" spans="1:18">
      <c r="A133" s="1">
        <v>132</v>
      </c>
      <c r="B133" s="1" t="s">
        <v>232</v>
      </c>
      <c r="C133" s="2">
        <v>27037</v>
      </c>
      <c r="D133" s="1" t="s">
        <v>19</v>
      </c>
      <c r="E133" s="1">
        <v>1099</v>
      </c>
      <c r="F133" s="1" t="s">
        <v>57</v>
      </c>
      <c r="G133" s="10">
        <v>5945</v>
      </c>
      <c r="H133" s="1" t="s">
        <v>34</v>
      </c>
      <c r="I133" s="2">
        <v>45635</v>
      </c>
      <c r="K133" s="1" t="s">
        <v>155</v>
      </c>
      <c r="L133" s="1" t="s">
        <v>22</v>
      </c>
      <c r="M133" s="14" t="str">
        <f>IF(Tabela1[[#This Row],[Data_Desligamento]]="","ATIVO","INATIVO")</f>
        <v>ATIVO</v>
      </c>
      <c r="N133" s="14" t="str">
        <f>TEXT(Tabela1[[#This Row],[Data_Admissão]],"mmm")</f>
        <v>dez</v>
      </c>
      <c r="O133" s="14" t="str">
        <f>TEXT(Tabela1[[#This Row],[Data_Desligamento]],"mmm")</f>
        <v>jan</v>
      </c>
      <c r="P133" s="17">
        <f>YEAR(Tabela1[[#This Row],[Data_Admissão]])</f>
        <v>2024</v>
      </c>
      <c r="Q133" s="17" t="str">
        <f>IF(Tabela1[[#This Row],[Data_Desligamento]]="", "", YEAR(Tabela1[[#This Row],[Data_Desligamento]]))</f>
        <v/>
      </c>
      <c r="R133" s="17"/>
    </row>
    <row r="134" spans="1:18">
      <c r="A134" s="1">
        <v>133</v>
      </c>
      <c r="B134" s="1" t="s">
        <v>233</v>
      </c>
      <c r="C134" s="2">
        <v>26074</v>
      </c>
      <c r="D134" s="1" t="s">
        <v>19</v>
      </c>
      <c r="E134" s="1">
        <v>1011</v>
      </c>
      <c r="F134" s="1" t="s">
        <v>53</v>
      </c>
      <c r="G134" s="10">
        <v>3325</v>
      </c>
      <c r="H134" s="1" t="s">
        <v>54</v>
      </c>
      <c r="I134" s="2">
        <v>45638</v>
      </c>
      <c r="K134" s="1" t="s">
        <v>157</v>
      </c>
      <c r="L134" s="1" t="s">
        <v>22</v>
      </c>
      <c r="M134" s="14" t="str">
        <f>IF(Tabela1[[#This Row],[Data_Desligamento]]="","ATIVO","INATIVO")</f>
        <v>ATIVO</v>
      </c>
      <c r="N134" s="14" t="str">
        <f>TEXT(Tabela1[[#This Row],[Data_Admissão]],"mmm")</f>
        <v>dez</v>
      </c>
      <c r="O134" s="14" t="str">
        <f>TEXT(Tabela1[[#This Row],[Data_Desligamento]],"mmm")</f>
        <v>jan</v>
      </c>
      <c r="P134" s="17">
        <f>YEAR(Tabela1[[#This Row],[Data_Admissão]])</f>
        <v>2024</v>
      </c>
      <c r="Q134" s="17" t="str">
        <f>IF(Tabela1[[#This Row],[Data_Desligamento]]="", "", YEAR(Tabela1[[#This Row],[Data_Desligamento]]))</f>
        <v/>
      </c>
      <c r="R134" s="17"/>
    </row>
    <row r="135" spans="1:18">
      <c r="A135" s="1">
        <v>134</v>
      </c>
      <c r="B135" s="1" t="s">
        <v>234</v>
      </c>
      <c r="C135" s="2">
        <v>29704</v>
      </c>
      <c r="D135" s="1" t="s">
        <v>19</v>
      </c>
      <c r="E135" s="1">
        <v>1254</v>
      </c>
      <c r="F135" s="1" t="s">
        <v>53</v>
      </c>
      <c r="G135" s="10">
        <v>2523</v>
      </c>
      <c r="H135" s="1" t="s">
        <v>54</v>
      </c>
      <c r="I135" s="2">
        <v>45639</v>
      </c>
      <c r="K135" s="1" t="s">
        <v>161</v>
      </c>
      <c r="L135" s="1" t="s">
        <v>22</v>
      </c>
      <c r="M135" s="14" t="str">
        <f>IF(Tabela1[[#This Row],[Data_Desligamento]]="","ATIVO","INATIVO")</f>
        <v>ATIVO</v>
      </c>
      <c r="N135" s="14" t="str">
        <f>TEXT(Tabela1[[#This Row],[Data_Admissão]],"mmm")</f>
        <v>dez</v>
      </c>
      <c r="O135" s="14" t="str">
        <f>TEXT(Tabela1[[#This Row],[Data_Desligamento]],"mmm")</f>
        <v>jan</v>
      </c>
      <c r="P135" s="17">
        <f>YEAR(Tabela1[[#This Row],[Data_Admissão]])</f>
        <v>2024</v>
      </c>
      <c r="Q135" s="17" t="str">
        <f>IF(Tabela1[[#This Row],[Data_Desligamento]]="", "", YEAR(Tabela1[[#This Row],[Data_Desligamento]]))</f>
        <v/>
      </c>
      <c r="R135" s="17"/>
    </row>
    <row r="136" spans="1:18">
      <c r="A136" s="1">
        <v>135</v>
      </c>
      <c r="B136" s="1" t="s">
        <v>235</v>
      </c>
      <c r="C136" s="2">
        <v>31634</v>
      </c>
      <c r="D136" s="1" t="s">
        <v>19</v>
      </c>
      <c r="E136" s="1">
        <v>1171</v>
      </c>
      <c r="F136" s="1" t="s">
        <v>33</v>
      </c>
      <c r="G136" s="10">
        <v>6074</v>
      </c>
      <c r="H136" s="1" t="s">
        <v>34</v>
      </c>
      <c r="I136" s="2">
        <v>45646</v>
      </c>
      <c r="K136" s="1" t="s">
        <v>22</v>
      </c>
      <c r="L136" s="1" t="s">
        <v>22</v>
      </c>
      <c r="M136" s="14" t="str">
        <f>IF(Tabela1[[#This Row],[Data_Desligamento]]="","ATIVO","INATIVO")</f>
        <v>ATIVO</v>
      </c>
      <c r="N136" s="14" t="str">
        <f>TEXT(Tabela1[[#This Row],[Data_Admissão]],"mmm")</f>
        <v>dez</v>
      </c>
      <c r="O136" s="14" t="str">
        <f>TEXT(Tabela1[[#This Row],[Data_Desligamento]],"mmm")</f>
        <v>jan</v>
      </c>
      <c r="P136" s="17">
        <f>YEAR(Tabela1[[#This Row],[Data_Admissão]])</f>
        <v>2024</v>
      </c>
      <c r="Q136" s="17" t="str">
        <f>IF(Tabela1[[#This Row],[Data_Desligamento]]="", "", YEAR(Tabela1[[#This Row],[Data_Desligamento]]))</f>
        <v/>
      </c>
      <c r="R136" s="17"/>
    </row>
    <row r="137" spans="1:18">
      <c r="A137" s="1">
        <v>136</v>
      </c>
      <c r="B137" s="1" t="s">
        <v>236</v>
      </c>
      <c r="C137" s="2">
        <v>35607</v>
      </c>
      <c r="D137" s="1" t="s">
        <v>19</v>
      </c>
      <c r="E137" s="1">
        <v>1199</v>
      </c>
      <c r="F137" s="1" t="s">
        <v>20</v>
      </c>
      <c r="G137" s="10">
        <v>4180</v>
      </c>
      <c r="H137" s="1" t="s">
        <v>21</v>
      </c>
      <c r="I137" s="2">
        <v>45650</v>
      </c>
      <c r="K137" s="1" t="s">
        <v>22</v>
      </c>
      <c r="L137" s="1" t="s">
        <v>22</v>
      </c>
      <c r="M137" s="14" t="str">
        <f>IF(Tabela1[[#This Row],[Data_Desligamento]]="","ATIVO","INATIVO")</f>
        <v>ATIVO</v>
      </c>
      <c r="N137" s="14" t="str">
        <f>TEXT(Tabela1[[#This Row],[Data_Admissão]],"mmm")</f>
        <v>dez</v>
      </c>
      <c r="O137" s="14" t="str">
        <f>TEXT(Tabela1[[#This Row],[Data_Desligamento]],"mmm")</f>
        <v>jan</v>
      </c>
      <c r="P137" s="17">
        <f>YEAR(Tabela1[[#This Row],[Data_Admissão]])</f>
        <v>2024</v>
      </c>
      <c r="Q137" s="17" t="str">
        <f>IF(Tabela1[[#This Row],[Data_Desligamento]]="", "", YEAR(Tabela1[[#This Row],[Data_Desligamento]]))</f>
        <v/>
      </c>
      <c r="R137" s="17"/>
    </row>
    <row r="138" spans="1:18">
      <c r="A138" s="1">
        <v>137</v>
      </c>
      <c r="B138" s="1" t="s">
        <v>237</v>
      </c>
      <c r="C138" s="2">
        <v>25989</v>
      </c>
      <c r="D138" s="1" t="s">
        <v>19</v>
      </c>
      <c r="E138" s="1">
        <v>1051</v>
      </c>
      <c r="F138" s="1" t="s">
        <v>20</v>
      </c>
      <c r="G138" s="10">
        <v>3012</v>
      </c>
      <c r="H138" s="1" t="s">
        <v>21</v>
      </c>
      <c r="I138" s="2">
        <v>45656</v>
      </c>
      <c r="K138" s="1" t="s">
        <v>163</v>
      </c>
      <c r="L138" s="1" t="s">
        <v>22</v>
      </c>
      <c r="M138" s="14" t="str">
        <f>IF(Tabela1[[#This Row],[Data_Desligamento]]="","ATIVO","INATIVO")</f>
        <v>ATIVO</v>
      </c>
      <c r="N138" s="14" t="str">
        <f>TEXT(Tabela1[[#This Row],[Data_Admissão]],"mmm")</f>
        <v>dez</v>
      </c>
      <c r="O138" s="14" t="str">
        <f>TEXT(Tabela1[[#This Row],[Data_Desligamento]],"mmm")</f>
        <v>jan</v>
      </c>
      <c r="P138" s="17">
        <f>YEAR(Tabela1[[#This Row],[Data_Admissão]])</f>
        <v>2024</v>
      </c>
      <c r="Q138" s="17" t="str">
        <f>IF(Tabela1[[#This Row],[Data_Desligamento]]="", "", YEAR(Tabela1[[#This Row],[Data_Desligamento]]))</f>
        <v/>
      </c>
      <c r="R138" s="17"/>
    </row>
    <row r="139" spans="1:18">
      <c r="A139" s="1">
        <v>138</v>
      </c>
      <c r="B139" s="1" t="s">
        <v>238</v>
      </c>
      <c r="C139" s="2">
        <v>30590</v>
      </c>
      <c r="D139" s="1" t="s">
        <v>19</v>
      </c>
      <c r="E139" s="1">
        <v>1212</v>
      </c>
      <c r="F139" s="1" t="s">
        <v>20</v>
      </c>
      <c r="G139" s="10">
        <v>2541</v>
      </c>
      <c r="H139" s="1" t="s">
        <v>21</v>
      </c>
      <c r="I139" s="2">
        <v>45658</v>
      </c>
      <c r="K139" s="1" t="s">
        <v>165</v>
      </c>
      <c r="L139" s="1" t="s">
        <v>22</v>
      </c>
      <c r="M139" s="14" t="str">
        <f>IF(Tabela1[[#This Row],[Data_Desligamento]]="","ATIVO","INATIVO")</f>
        <v>ATIVO</v>
      </c>
      <c r="N139" s="14" t="str">
        <f>TEXT(Tabela1[[#This Row],[Data_Admissão]],"mmm")</f>
        <v>jan</v>
      </c>
      <c r="O139" s="14" t="str">
        <f>TEXT(Tabela1[[#This Row],[Data_Desligamento]],"mmm")</f>
        <v>jan</v>
      </c>
      <c r="P139" s="17">
        <f>YEAR(Tabela1[[#This Row],[Data_Admissão]])</f>
        <v>2025</v>
      </c>
      <c r="Q139" s="17" t="str">
        <f>IF(Tabela1[[#This Row],[Data_Desligamento]]="", "", YEAR(Tabela1[[#This Row],[Data_Desligamento]]))</f>
        <v/>
      </c>
      <c r="R139" s="17"/>
    </row>
    <row r="140" spans="1:18">
      <c r="A140" s="1">
        <v>139</v>
      </c>
      <c r="B140" s="1" t="s">
        <v>239</v>
      </c>
      <c r="C140" s="2">
        <v>37514</v>
      </c>
      <c r="D140" s="1" t="s">
        <v>19</v>
      </c>
      <c r="E140" s="1">
        <v>1230</v>
      </c>
      <c r="F140" s="1" t="s">
        <v>68</v>
      </c>
      <c r="G140" s="10">
        <v>1924</v>
      </c>
      <c r="H140" s="1" t="s">
        <v>54</v>
      </c>
      <c r="I140" s="2">
        <v>45660</v>
      </c>
      <c r="K140" s="1" t="s">
        <v>27</v>
      </c>
      <c r="L140" s="1" t="s">
        <v>22</v>
      </c>
      <c r="M140" s="14" t="str">
        <f>IF(Tabela1[[#This Row],[Data_Desligamento]]="","ATIVO","INATIVO")</f>
        <v>ATIVO</v>
      </c>
      <c r="N140" s="14" t="str">
        <f>TEXT(Tabela1[[#This Row],[Data_Admissão]],"mmm")</f>
        <v>jan</v>
      </c>
      <c r="O140" s="14" t="str">
        <f>TEXT(Tabela1[[#This Row],[Data_Desligamento]],"mmm")</f>
        <v>jan</v>
      </c>
      <c r="P140" s="17">
        <f>YEAR(Tabela1[[#This Row],[Data_Admissão]])</f>
        <v>2025</v>
      </c>
      <c r="Q140" s="17" t="str">
        <f>IF(Tabela1[[#This Row],[Data_Desligamento]]="", "", YEAR(Tabela1[[#This Row],[Data_Desligamento]]))</f>
        <v/>
      </c>
      <c r="R140" s="17"/>
    </row>
    <row r="141" spans="1:18">
      <c r="A141" s="1">
        <v>140</v>
      </c>
      <c r="B141" s="1" t="s">
        <v>240</v>
      </c>
      <c r="C141" s="2">
        <v>28685</v>
      </c>
      <c r="D141" s="1" t="s">
        <v>19</v>
      </c>
      <c r="E141" s="1">
        <v>1330</v>
      </c>
      <c r="F141" s="1" t="s">
        <v>48</v>
      </c>
      <c r="G141" s="10">
        <v>4528</v>
      </c>
      <c r="H141" s="1" t="s">
        <v>26</v>
      </c>
      <c r="I141" s="2">
        <v>45668</v>
      </c>
      <c r="J141" s="2">
        <v>45993</v>
      </c>
      <c r="K141" s="1" t="s">
        <v>22</v>
      </c>
      <c r="L141" s="1" t="s">
        <v>241</v>
      </c>
      <c r="M141" s="14" t="str">
        <f>IF(Tabela1[[#This Row],[Data_Desligamento]]="","ATIVO","INATIVO")</f>
        <v>INATIVO</v>
      </c>
      <c r="N141" s="14" t="str">
        <f>TEXT(Tabela1[[#This Row],[Data_Admissão]],"mmm")</f>
        <v>jan</v>
      </c>
      <c r="O141" s="14" t="str">
        <f>TEXT(Tabela1[[#This Row],[Data_Desligamento]],"mmm")</f>
        <v>dez</v>
      </c>
      <c r="P141" s="17">
        <f>YEAR(Tabela1[[#This Row],[Data_Admissão]])</f>
        <v>2025</v>
      </c>
      <c r="Q141" s="17">
        <f>IF(Tabela1[[#This Row],[Data_Desligamento]]="", "", YEAR(Tabela1[[#This Row],[Data_Desligamento]]))</f>
        <v>2025</v>
      </c>
      <c r="R141" s="17"/>
    </row>
    <row r="142" spans="1:18">
      <c r="A142" s="1">
        <v>141</v>
      </c>
      <c r="B142" s="1" t="s">
        <v>242</v>
      </c>
      <c r="C142" s="2">
        <v>27094</v>
      </c>
      <c r="D142" s="1" t="s">
        <v>19</v>
      </c>
      <c r="E142" s="1">
        <v>1240</v>
      </c>
      <c r="F142" s="1" t="s">
        <v>57</v>
      </c>
      <c r="G142" s="10">
        <v>6345</v>
      </c>
      <c r="H142" s="1" t="s">
        <v>34</v>
      </c>
      <c r="I142" s="2">
        <v>45671</v>
      </c>
      <c r="K142" s="1" t="s">
        <v>36</v>
      </c>
      <c r="L142" s="1" t="s">
        <v>22</v>
      </c>
      <c r="M142" s="14" t="str">
        <f>IF(Tabela1[[#This Row],[Data_Desligamento]]="","ATIVO","INATIVO")</f>
        <v>ATIVO</v>
      </c>
      <c r="N142" s="14" t="str">
        <f>TEXT(Tabela1[[#This Row],[Data_Admissão]],"mmm")</f>
        <v>jan</v>
      </c>
      <c r="O142" s="14" t="str">
        <f>TEXT(Tabela1[[#This Row],[Data_Desligamento]],"mmm")</f>
        <v>jan</v>
      </c>
      <c r="P142" s="17">
        <f>YEAR(Tabela1[[#This Row],[Data_Admissão]])</f>
        <v>2025</v>
      </c>
      <c r="Q142" s="17" t="str">
        <f>IF(Tabela1[[#This Row],[Data_Desligamento]]="", "", YEAR(Tabela1[[#This Row],[Data_Desligamento]]))</f>
        <v/>
      </c>
      <c r="R142" s="17"/>
    </row>
    <row r="143" spans="1:18">
      <c r="A143" s="1">
        <v>142</v>
      </c>
      <c r="B143" s="1" t="s">
        <v>243</v>
      </c>
      <c r="C143" s="2">
        <v>35046</v>
      </c>
      <c r="D143" s="1" t="s">
        <v>19</v>
      </c>
      <c r="E143" s="1">
        <v>1331</v>
      </c>
      <c r="F143" s="1" t="s">
        <v>38</v>
      </c>
      <c r="G143" s="10">
        <v>16871</v>
      </c>
      <c r="H143" s="1" t="s">
        <v>39</v>
      </c>
      <c r="I143" s="2">
        <v>45677</v>
      </c>
      <c r="J143" s="2">
        <v>45930</v>
      </c>
      <c r="K143" s="1" t="s">
        <v>22</v>
      </c>
      <c r="L143" s="1" t="s">
        <v>244</v>
      </c>
      <c r="M143" s="14" t="str">
        <f>IF(Tabela1[[#This Row],[Data_Desligamento]]="","ATIVO","INATIVO")</f>
        <v>INATIVO</v>
      </c>
      <c r="N143" s="14" t="str">
        <f>TEXT(Tabela1[[#This Row],[Data_Admissão]],"mmm")</f>
        <v>jan</v>
      </c>
      <c r="O143" s="14" t="str">
        <f>TEXT(Tabela1[[#This Row],[Data_Desligamento]],"mmm")</f>
        <v>set</v>
      </c>
      <c r="P143" s="17">
        <f>YEAR(Tabela1[[#This Row],[Data_Admissão]])</f>
        <v>2025</v>
      </c>
      <c r="Q143" s="17">
        <f>IF(Tabela1[[#This Row],[Data_Desligamento]]="", "", YEAR(Tabela1[[#This Row],[Data_Desligamento]]))</f>
        <v>2025</v>
      </c>
      <c r="R143" s="17"/>
    </row>
    <row r="144" spans="1:18">
      <c r="A144" s="1">
        <v>143</v>
      </c>
      <c r="B144" s="1" t="s">
        <v>245</v>
      </c>
      <c r="C144" s="2">
        <v>34271</v>
      </c>
      <c r="D144" s="1" t="s">
        <v>19</v>
      </c>
      <c r="E144" s="1">
        <v>1117</v>
      </c>
      <c r="F144" s="1" t="s">
        <v>20</v>
      </c>
      <c r="G144" s="10">
        <v>2548</v>
      </c>
      <c r="H144" s="1" t="s">
        <v>21</v>
      </c>
      <c r="I144" s="2">
        <v>45680</v>
      </c>
      <c r="J144" s="2">
        <v>45928</v>
      </c>
      <c r="K144" s="1" t="s">
        <v>46</v>
      </c>
      <c r="L144" s="1" t="s">
        <v>246</v>
      </c>
      <c r="M144" s="14" t="str">
        <f>IF(Tabela1[[#This Row],[Data_Desligamento]]="","ATIVO","INATIVO")</f>
        <v>INATIVO</v>
      </c>
      <c r="N144" s="14" t="str">
        <f>TEXT(Tabela1[[#This Row],[Data_Admissão]],"mmm")</f>
        <v>jan</v>
      </c>
      <c r="O144" s="14" t="str">
        <f>TEXT(Tabela1[[#This Row],[Data_Desligamento]],"mmm")</f>
        <v>set</v>
      </c>
      <c r="P144" s="17">
        <f>YEAR(Tabela1[[#This Row],[Data_Admissão]])</f>
        <v>2025</v>
      </c>
      <c r="Q144" s="17">
        <f>IF(Tabela1[[#This Row],[Data_Desligamento]]="", "", YEAR(Tabela1[[#This Row],[Data_Desligamento]]))</f>
        <v>2025</v>
      </c>
      <c r="R144" s="17"/>
    </row>
    <row r="145" spans="1:18">
      <c r="A145" s="1">
        <v>144</v>
      </c>
      <c r="B145" s="1" t="s">
        <v>247</v>
      </c>
      <c r="C145" s="2">
        <v>36928</v>
      </c>
      <c r="D145" s="1" t="s">
        <v>19</v>
      </c>
      <c r="E145" s="1">
        <v>1060</v>
      </c>
      <c r="F145" s="1" t="s">
        <v>20</v>
      </c>
      <c r="G145" s="10">
        <v>2593</v>
      </c>
      <c r="H145" s="1" t="s">
        <v>21</v>
      </c>
      <c r="I145" s="2">
        <v>45680</v>
      </c>
      <c r="K145" s="1" t="s">
        <v>49</v>
      </c>
      <c r="L145" s="1" t="s">
        <v>22</v>
      </c>
      <c r="M145" s="14" t="str">
        <f>IF(Tabela1[[#This Row],[Data_Desligamento]]="","ATIVO","INATIVO")</f>
        <v>ATIVO</v>
      </c>
      <c r="N145" s="14" t="str">
        <f>TEXT(Tabela1[[#This Row],[Data_Admissão]],"mmm")</f>
        <v>jan</v>
      </c>
      <c r="O145" s="14" t="str">
        <f>TEXT(Tabela1[[#This Row],[Data_Desligamento]],"mmm")</f>
        <v>jan</v>
      </c>
      <c r="P145" s="17">
        <f>YEAR(Tabela1[[#This Row],[Data_Admissão]])</f>
        <v>2025</v>
      </c>
      <c r="Q145" s="17" t="str">
        <f>IF(Tabela1[[#This Row],[Data_Desligamento]]="", "", YEAR(Tabela1[[#This Row],[Data_Desligamento]]))</f>
        <v/>
      </c>
      <c r="R145" s="17"/>
    </row>
    <row r="146" spans="1:18">
      <c r="A146" s="1">
        <v>145</v>
      </c>
      <c r="B146" s="1" t="s">
        <v>248</v>
      </c>
      <c r="C146" s="2">
        <v>34790</v>
      </c>
      <c r="D146" s="1" t="s">
        <v>19</v>
      </c>
      <c r="E146" s="1">
        <v>1152</v>
      </c>
      <c r="F146" s="1" t="s">
        <v>89</v>
      </c>
      <c r="G146" s="10">
        <v>2242</v>
      </c>
      <c r="H146" s="1" t="s">
        <v>77</v>
      </c>
      <c r="I146" s="2">
        <v>45681</v>
      </c>
      <c r="K146" s="1" t="s">
        <v>55</v>
      </c>
      <c r="L146" s="1" t="s">
        <v>22</v>
      </c>
      <c r="M146" s="14" t="str">
        <f>IF(Tabela1[[#This Row],[Data_Desligamento]]="","ATIVO","INATIVO")</f>
        <v>ATIVO</v>
      </c>
      <c r="N146" s="14" t="str">
        <f>TEXT(Tabela1[[#This Row],[Data_Admissão]],"mmm")</f>
        <v>jan</v>
      </c>
      <c r="O146" s="14" t="str">
        <f>TEXT(Tabela1[[#This Row],[Data_Desligamento]],"mmm")</f>
        <v>jan</v>
      </c>
      <c r="P146" s="17">
        <f>YEAR(Tabela1[[#This Row],[Data_Admissão]])</f>
        <v>2025</v>
      </c>
      <c r="Q146" s="17" t="str">
        <f>IF(Tabela1[[#This Row],[Data_Desligamento]]="", "", YEAR(Tabela1[[#This Row],[Data_Desligamento]]))</f>
        <v/>
      </c>
      <c r="R146" s="17"/>
    </row>
    <row r="147" spans="1:18">
      <c r="A147" s="1">
        <v>146</v>
      </c>
      <c r="B147" s="1" t="s">
        <v>249</v>
      </c>
      <c r="C147" s="2">
        <v>26780</v>
      </c>
      <c r="D147" s="1" t="s">
        <v>19</v>
      </c>
      <c r="E147" s="1">
        <v>1123</v>
      </c>
      <c r="F147" s="1" t="s">
        <v>20</v>
      </c>
      <c r="G147" s="10">
        <v>3392</v>
      </c>
      <c r="H147" s="1" t="s">
        <v>21</v>
      </c>
      <c r="I147" s="2">
        <v>45684</v>
      </c>
      <c r="K147" s="1" t="s">
        <v>58</v>
      </c>
      <c r="L147" s="1" t="s">
        <v>22</v>
      </c>
      <c r="M147" s="14" t="str">
        <f>IF(Tabela1[[#This Row],[Data_Desligamento]]="","ATIVO","INATIVO")</f>
        <v>ATIVO</v>
      </c>
      <c r="N147" s="14" t="str">
        <f>TEXT(Tabela1[[#This Row],[Data_Admissão]],"mmm")</f>
        <v>jan</v>
      </c>
      <c r="O147" s="14" t="str">
        <f>TEXT(Tabela1[[#This Row],[Data_Desligamento]],"mmm")</f>
        <v>jan</v>
      </c>
      <c r="P147" s="17">
        <f>YEAR(Tabela1[[#This Row],[Data_Admissão]])</f>
        <v>2025</v>
      </c>
      <c r="Q147" s="17" t="str">
        <f>IF(Tabela1[[#This Row],[Data_Desligamento]]="", "", YEAR(Tabela1[[#This Row],[Data_Desligamento]]))</f>
        <v/>
      </c>
      <c r="R147" s="17"/>
    </row>
    <row r="148" spans="1:18">
      <c r="A148" s="1">
        <v>147</v>
      </c>
      <c r="B148" s="1" t="s">
        <v>250</v>
      </c>
      <c r="C148" s="2">
        <v>35730</v>
      </c>
      <c r="D148" s="1" t="s">
        <v>19</v>
      </c>
      <c r="E148" s="1">
        <v>1162</v>
      </c>
      <c r="F148" s="1" t="s">
        <v>138</v>
      </c>
      <c r="G148" s="10">
        <v>12412</v>
      </c>
      <c r="H148" s="1" t="s">
        <v>139</v>
      </c>
      <c r="I148" s="2">
        <v>45687</v>
      </c>
      <c r="K148" s="1" t="s">
        <v>22</v>
      </c>
      <c r="L148" s="1" t="s">
        <v>22</v>
      </c>
      <c r="M148" s="14" t="str">
        <f>IF(Tabela1[[#This Row],[Data_Desligamento]]="","ATIVO","INATIVO")</f>
        <v>ATIVO</v>
      </c>
      <c r="N148" s="14" t="str">
        <f>TEXT(Tabela1[[#This Row],[Data_Admissão]],"mmm")</f>
        <v>jan</v>
      </c>
      <c r="O148" s="14" t="str">
        <f>TEXT(Tabela1[[#This Row],[Data_Desligamento]],"mmm")</f>
        <v>jan</v>
      </c>
      <c r="P148" s="17">
        <f>YEAR(Tabela1[[#This Row],[Data_Admissão]])</f>
        <v>2025</v>
      </c>
      <c r="Q148" s="17" t="str">
        <f>IF(Tabela1[[#This Row],[Data_Desligamento]]="", "", YEAR(Tabela1[[#This Row],[Data_Desligamento]]))</f>
        <v/>
      </c>
      <c r="R148" s="17"/>
    </row>
    <row r="149" spans="1:18">
      <c r="A149" s="1">
        <v>148</v>
      </c>
      <c r="B149" s="1" t="s">
        <v>251</v>
      </c>
      <c r="C149" s="2">
        <v>29447</v>
      </c>
      <c r="D149" s="1" t="s">
        <v>19</v>
      </c>
      <c r="E149" s="1">
        <v>1143</v>
      </c>
      <c r="F149" s="1" t="s">
        <v>44</v>
      </c>
      <c r="G149" s="10">
        <v>6522</v>
      </c>
      <c r="H149" s="1" t="s">
        <v>45</v>
      </c>
      <c r="I149" s="2">
        <v>45687</v>
      </c>
      <c r="K149" s="1" t="s">
        <v>22</v>
      </c>
      <c r="L149" s="1" t="s">
        <v>22</v>
      </c>
      <c r="M149" s="14" t="str">
        <f>IF(Tabela1[[#This Row],[Data_Desligamento]]="","ATIVO","INATIVO")</f>
        <v>ATIVO</v>
      </c>
      <c r="N149" s="14" t="str">
        <f>TEXT(Tabela1[[#This Row],[Data_Admissão]],"mmm")</f>
        <v>jan</v>
      </c>
      <c r="O149" s="14" t="str">
        <f>TEXT(Tabela1[[#This Row],[Data_Desligamento]],"mmm")</f>
        <v>jan</v>
      </c>
      <c r="P149" s="17">
        <f>YEAR(Tabela1[[#This Row],[Data_Admissão]])</f>
        <v>2025</v>
      </c>
      <c r="Q149" s="17" t="str">
        <f>IF(Tabela1[[#This Row],[Data_Desligamento]]="", "", YEAR(Tabela1[[#This Row],[Data_Desligamento]]))</f>
        <v/>
      </c>
      <c r="R149" s="17"/>
    </row>
    <row r="150" spans="1:18">
      <c r="A150" s="1">
        <v>149</v>
      </c>
      <c r="B150" s="1" t="s">
        <v>252</v>
      </c>
      <c r="C150" s="2">
        <v>35030</v>
      </c>
      <c r="D150" s="1" t="s">
        <v>19</v>
      </c>
      <c r="E150" s="1">
        <v>1168</v>
      </c>
      <c r="F150" s="1" t="s">
        <v>33</v>
      </c>
      <c r="G150" s="10">
        <v>3786</v>
      </c>
      <c r="H150" s="1" t="s">
        <v>34</v>
      </c>
      <c r="I150" s="2">
        <v>45692</v>
      </c>
      <c r="K150" s="1" t="s">
        <v>60</v>
      </c>
      <c r="L150" s="1" t="s">
        <v>22</v>
      </c>
      <c r="M150" s="14" t="str">
        <f>IF(Tabela1[[#This Row],[Data_Desligamento]]="","ATIVO","INATIVO")</f>
        <v>ATIVO</v>
      </c>
      <c r="N150" s="14" t="str">
        <f>TEXT(Tabela1[[#This Row],[Data_Admissão]],"mmm")</f>
        <v>fev</v>
      </c>
      <c r="O150" s="14" t="str">
        <f>TEXT(Tabela1[[#This Row],[Data_Desligamento]],"mmm")</f>
        <v>jan</v>
      </c>
      <c r="P150" s="17">
        <f>YEAR(Tabela1[[#This Row],[Data_Admissão]])</f>
        <v>2025</v>
      </c>
      <c r="Q150" s="17" t="str">
        <f>IF(Tabela1[[#This Row],[Data_Desligamento]]="", "", YEAR(Tabela1[[#This Row],[Data_Desligamento]]))</f>
        <v/>
      </c>
      <c r="R150" s="17"/>
    </row>
    <row r="151" spans="1:18">
      <c r="A151" s="1">
        <v>150</v>
      </c>
      <c r="B151" s="1" t="s">
        <v>253</v>
      </c>
      <c r="C151" s="2">
        <v>31801</v>
      </c>
      <c r="D151" s="1" t="s">
        <v>19</v>
      </c>
      <c r="E151" s="1">
        <v>1067</v>
      </c>
      <c r="F151" s="1" t="s">
        <v>81</v>
      </c>
      <c r="G151" s="10">
        <v>1504</v>
      </c>
      <c r="H151" s="1" t="s">
        <v>45</v>
      </c>
      <c r="I151" s="2">
        <v>45696</v>
      </c>
      <c r="K151" s="1" t="s">
        <v>22</v>
      </c>
      <c r="L151" s="1" t="s">
        <v>22</v>
      </c>
      <c r="M151" s="14" t="str">
        <f>IF(Tabela1[[#This Row],[Data_Desligamento]]="","ATIVO","INATIVO")</f>
        <v>ATIVO</v>
      </c>
      <c r="N151" s="14" t="str">
        <f>TEXT(Tabela1[[#This Row],[Data_Admissão]],"mmm")</f>
        <v>fev</v>
      </c>
      <c r="O151" s="14" t="str">
        <f>TEXT(Tabela1[[#This Row],[Data_Desligamento]],"mmm")</f>
        <v>jan</v>
      </c>
      <c r="P151" s="17">
        <f>YEAR(Tabela1[[#This Row],[Data_Admissão]])</f>
        <v>2025</v>
      </c>
      <c r="Q151" s="17" t="str">
        <f>IF(Tabela1[[#This Row],[Data_Desligamento]]="", "", YEAR(Tabela1[[#This Row],[Data_Desligamento]]))</f>
        <v/>
      </c>
      <c r="R151" s="17"/>
    </row>
    <row r="152" spans="1:18">
      <c r="A152" s="1">
        <v>151</v>
      </c>
      <c r="B152" s="1" t="s">
        <v>254</v>
      </c>
      <c r="C152" s="2">
        <v>35346</v>
      </c>
      <c r="D152" s="1" t="s">
        <v>19</v>
      </c>
      <c r="E152" s="1">
        <v>1206</v>
      </c>
      <c r="F152" s="1" t="s">
        <v>89</v>
      </c>
      <c r="G152" s="10">
        <v>2606</v>
      </c>
      <c r="H152" s="1" t="s">
        <v>77</v>
      </c>
      <c r="I152" s="2">
        <v>45699</v>
      </c>
      <c r="K152" s="1" t="s">
        <v>65</v>
      </c>
      <c r="L152" s="1" t="s">
        <v>22</v>
      </c>
      <c r="M152" s="14" t="str">
        <f>IF(Tabela1[[#This Row],[Data_Desligamento]]="","ATIVO","INATIVO")</f>
        <v>ATIVO</v>
      </c>
      <c r="N152" s="14" t="str">
        <f>TEXT(Tabela1[[#This Row],[Data_Admissão]],"mmm")</f>
        <v>fev</v>
      </c>
      <c r="O152" s="14" t="str">
        <f>TEXT(Tabela1[[#This Row],[Data_Desligamento]],"mmm")</f>
        <v>jan</v>
      </c>
      <c r="P152" s="17">
        <f>YEAR(Tabela1[[#This Row],[Data_Admissão]])</f>
        <v>2025</v>
      </c>
      <c r="Q152" s="17" t="str">
        <f>IF(Tabela1[[#This Row],[Data_Desligamento]]="", "", YEAR(Tabela1[[#This Row],[Data_Desligamento]]))</f>
        <v/>
      </c>
      <c r="R152" s="17"/>
    </row>
    <row r="153" spans="1:18">
      <c r="A153" s="1">
        <v>152</v>
      </c>
      <c r="B153" s="1" t="s">
        <v>255</v>
      </c>
      <c r="C153" s="2">
        <v>28293</v>
      </c>
      <c r="D153" s="1" t="s">
        <v>19</v>
      </c>
      <c r="E153" s="1">
        <v>1275</v>
      </c>
      <c r="F153" s="1" t="s">
        <v>48</v>
      </c>
      <c r="G153" s="10">
        <v>3675</v>
      </c>
      <c r="H153" s="1" t="s">
        <v>26</v>
      </c>
      <c r="I153" s="2">
        <v>45700</v>
      </c>
      <c r="K153" s="1" t="s">
        <v>22</v>
      </c>
      <c r="L153" s="1" t="s">
        <v>22</v>
      </c>
      <c r="M153" s="14" t="str">
        <f>IF(Tabela1[[#This Row],[Data_Desligamento]]="","ATIVO","INATIVO")</f>
        <v>ATIVO</v>
      </c>
      <c r="N153" s="14" t="str">
        <f>TEXT(Tabela1[[#This Row],[Data_Admissão]],"mmm")</f>
        <v>fev</v>
      </c>
      <c r="O153" s="14" t="str">
        <f>TEXT(Tabela1[[#This Row],[Data_Desligamento]],"mmm")</f>
        <v>jan</v>
      </c>
      <c r="P153" s="17">
        <f>YEAR(Tabela1[[#This Row],[Data_Admissão]])</f>
        <v>2025</v>
      </c>
      <c r="Q153" s="17" t="str">
        <f>IF(Tabela1[[#This Row],[Data_Desligamento]]="", "", YEAR(Tabela1[[#This Row],[Data_Desligamento]]))</f>
        <v/>
      </c>
      <c r="R153" s="17"/>
    </row>
    <row r="154" spans="1:18">
      <c r="A154" s="1">
        <v>153</v>
      </c>
      <c r="B154" s="1" t="s">
        <v>256</v>
      </c>
      <c r="C154" s="2">
        <v>37174</v>
      </c>
      <c r="D154" s="1" t="s">
        <v>19</v>
      </c>
      <c r="E154" s="1">
        <v>1103</v>
      </c>
      <c r="F154" s="1" t="s">
        <v>48</v>
      </c>
      <c r="G154" s="10">
        <v>3083</v>
      </c>
      <c r="H154" s="1" t="s">
        <v>26</v>
      </c>
      <c r="I154" s="2">
        <v>45702</v>
      </c>
      <c r="K154" s="1" t="s">
        <v>22</v>
      </c>
      <c r="L154" s="1" t="s">
        <v>22</v>
      </c>
      <c r="M154" s="14" t="str">
        <f>IF(Tabela1[[#This Row],[Data_Desligamento]]="","ATIVO","INATIVO")</f>
        <v>ATIVO</v>
      </c>
      <c r="N154" s="14" t="str">
        <f>TEXT(Tabela1[[#This Row],[Data_Admissão]],"mmm")</f>
        <v>fev</v>
      </c>
      <c r="O154" s="14" t="str">
        <f>TEXT(Tabela1[[#This Row],[Data_Desligamento]],"mmm")</f>
        <v>jan</v>
      </c>
      <c r="P154" s="17">
        <f>YEAR(Tabela1[[#This Row],[Data_Admissão]])</f>
        <v>2025</v>
      </c>
      <c r="Q154" s="17" t="str">
        <f>IF(Tabela1[[#This Row],[Data_Desligamento]]="", "", YEAR(Tabela1[[#This Row],[Data_Desligamento]]))</f>
        <v/>
      </c>
      <c r="R154" s="17"/>
    </row>
    <row r="155" spans="1:18">
      <c r="A155" s="1">
        <v>154</v>
      </c>
      <c r="B155" s="1" t="s">
        <v>42</v>
      </c>
      <c r="C155" s="2">
        <v>28156</v>
      </c>
      <c r="D155" s="1" t="s">
        <v>19</v>
      </c>
      <c r="E155" s="1">
        <v>1264</v>
      </c>
      <c r="F155" s="1" t="s">
        <v>68</v>
      </c>
      <c r="G155" s="10">
        <v>2777</v>
      </c>
      <c r="H155" s="1" t="s">
        <v>54</v>
      </c>
      <c r="I155" s="2">
        <v>45704</v>
      </c>
      <c r="K155" s="1" t="s">
        <v>22</v>
      </c>
      <c r="L155" s="1" t="s">
        <v>22</v>
      </c>
      <c r="M155" s="14" t="str">
        <f>IF(Tabela1[[#This Row],[Data_Desligamento]]="","ATIVO","INATIVO")</f>
        <v>ATIVO</v>
      </c>
      <c r="N155" s="14" t="str">
        <f>TEXT(Tabela1[[#This Row],[Data_Admissão]],"mmm")</f>
        <v>fev</v>
      </c>
      <c r="O155" s="14" t="str">
        <f>TEXT(Tabela1[[#This Row],[Data_Desligamento]],"mmm")</f>
        <v>jan</v>
      </c>
      <c r="P155" s="17">
        <f>YEAR(Tabela1[[#This Row],[Data_Admissão]])</f>
        <v>2025</v>
      </c>
      <c r="Q155" s="17" t="str">
        <f>IF(Tabela1[[#This Row],[Data_Desligamento]]="", "", YEAR(Tabela1[[#This Row],[Data_Desligamento]]))</f>
        <v/>
      </c>
      <c r="R155" s="17"/>
    </row>
    <row r="156" spans="1:18">
      <c r="A156" s="1">
        <v>155</v>
      </c>
      <c r="B156" s="1" t="s">
        <v>257</v>
      </c>
      <c r="C156" s="2">
        <v>28629</v>
      </c>
      <c r="D156" s="1" t="s">
        <v>19</v>
      </c>
      <c r="E156" s="1">
        <v>1187</v>
      </c>
      <c r="F156" s="1" t="s">
        <v>38</v>
      </c>
      <c r="G156" s="10">
        <v>15018</v>
      </c>
      <c r="H156" s="1" t="s">
        <v>39</v>
      </c>
      <c r="I156" s="2">
        <v>45704</v>
      </c>
      <c r="K156" s="1" t="s">
        <v>69</v>
      </c>
      <c r="L156" s="1" t="s">
        <v>22</v>
      </c>
      <c r="M156" s="14" t="str">
        <f>IF(Tabela1[[#This Row],[Data_Desligamento]]="","ATIVO","INATIVO")</f>
        <v>ATIVO</v>
      </c>
      <c r="N156" s="14" t="str">
        <f>TEXT(Tabela1[[#This Row],[Data_Admissão]],"mmm")</f>
        <v>fev</v>
      </c>
      <c r="O156" s="14" t="str">
        <f>TEXT(Tabela1[[#This Row],[Data_Desligamento]],"mmm")</f>
        <v>jan</v>
      </c>
      <c r="P156" s="17">
        <f>YEAR(Tabela1[[#This Row],[Data_Admissão]])</f>
        <v>2025</v>
      </c>
      <c r="Q156" s="17" t="str">
        <f>IF(Tabela1[[#This Row],[Data_Desligamento]]="", "", YEAR(Tabela1[[#This Row],[Data_Desligamento]]))</f>
        <v/>
      </c>
      <c r="R156" s="17"/>
    </row>
    <row r="157" spans="1:18">
      <c r="A157" s="1">
        <v>156</v>
      </c>
      <c r="B157" s="1" t="s">
        <v>258</v>
      </c>
      <c r="C157" s="2">
        <v>33318</v>
      </c>
      <c r="D157" s="1" t="s">
        <v>19</v>
      </c>
      <c r="E157" s="1">
        <v>1100</v>
      </c>
      <c r="F157" s="1" t="s">
        <v>33</v>
      </c>
      <c r="G157" s="10">
        <v>3597</v>
      </c>
      <c r="H157" s="1" t="s">
        <v>34</v>
      </c>
      <c r="I157" s="2">
        <v>45705</v>
      </c>
      <c r="K157" s="1" t="s">
        <v>71</v>
      </c>
      <c r="L157" s="1" t="s">
        <v>22</v>
      </c>
      <c r="M157" s="14" t="str">
        <f>IF(Tabela1[[#This Row],[Data_Desligamento]]="","ATIVO","INATIVO")</f>
        <v>ATIVO</v>
      </c>
      <c r="N157" s="14" t="str">
        <f>TEXT(Tabela1[[#This Row],[Data_Admissão]],"mmm")</f>
        <v>fev</v>
      </c>
      <c r="O157" s="14" t="str">
        <f>TEXT(Tabela1[[#This Row],[Data_Desligamento]],"mmm")</f>
        <v>jan</v>
      </c>
      <c r="P157" s="17">
        <f>YEAR(Tabela1[[#This Row],[Data_Admissão]])</f>
        <v>2025</v>
      </c>
      <c r="Q157" s="17" t="str">
        <f>IF(Tabela1[[#This Row],[Data_Desligamento]]="", "", YEAR(Tabela1[[#This Row],[Data_Desligamento]]))</f>
        <v/>
      </c>
      <c r="R157" s="17"/>
    </row>
    <row r="158" spans="1:18">
      <c r="A158" s="1">
        <v>157</v>
      </c>
      <c r="B158" s="1" t="s">
        <v>259</v>
      </c>
      <c r="C158" s="2">
        <v>37887</v>
      </c>
      <c r="D158" s="1" t="s">
        <v>19</v>
      </c>
      <c r="E158" s="1">
        <v>1023</v>
      </c>
      <c r="F158" s="1" t="s">
        <v>44</v>
      </c>
      <c r="G158" s="10">
        <v>4319</v>
      </c>
      <c r="H158" s="1" t="s">
        <v>45</v>
      </c>
      <c r="I158" s="2">
        <v>45706</v>
      </c>
      <c r="J158" s="2">
        <v>45991</v>
      </c>
      <c r="K158" s="1" t="s">
        <v>73</v>
      </c>
      <c r="L158" s="1" t="s">
        <v>260</v>
      </c>
      <c r="M158" s="14" t="str">
        <f>IF(Tabela1[[#This Row],[Data_Desligamento]]="","ATIVO","INATIVO")</f>
        <v>INATIVO</v>
      </c>
      <c r="N158" s="14" t="str">
        <f>TEXT(Tabela1[[#This Row],[Data_Admissão]],"mmm")</f>
        <v>fev</v>
      </c>
      <c r="O158" s="14" t="str">
        <f>TEXT(Tabela1[[#This Row],[Data_Desligamento]],"mmm")</f>
        <v>nov</v>
      </c>
      <c r="P158" s="17">
        <f>YEAR(Tabela1[[#This Row],[Data_Admissão]])</f>
        <v>2025</v>
      </c>
      <c r="Q158" s="17">
        <f>IF(Tabela1[[#This Row],[Data_Desligamento]]="", "", YEAR(Tabela1[[#This Row],[Data_Desligamento]]))</f>
        <v>2025</v>
      </c>
      <c r="R158" s="17"/>
    </row>
    <row r="159" spans="1:18">
      <c r="A159" s="1">
        <v>158</v>
      </c>
      <c r="B159" s="1" t="s">
        <v>261</v>
      </c>
      <c r="C159" s="2">
        <v>36312</v>
      </c>
      <c r="D159" s="1" t="s">
        <v>19</v>
      </c>
      <c r="E159" s="1">
        <v>1085</v>
      </c>
      <c r="F159" s="1" t="s">
        <v>53</v>
      </c>
      <c r="G159" s="10">
        <v>3707</v>
      </c>
      <c r="H159" s="1" t="s">
        <v>54</v>
      </c>
      <c r="I159" s="2">
        <v>45707</v>
      </c>
      <c r="K159" s="1" t="s">
        <v>79</v>
      </c>
      <c r="L159" s="1" t="s">
        <v>22</v>
      </c>
      <c r="M159" s="14" t="str">
        <f>IF(Tabela1[[#This Row],[Data_Desligamento]]="","ATIVO","INATIVO")</f>
        <v>ATIVO</v>
      </c>
      <c r="N159" s="14" t="str">
        <f>TEXT(Tabela1[[#This Row],[Data_Admissão]],"mmm")</f>
        <v>fev</v>
      </c>
      <c r="O159" s="14" t="str">
        <f>TEXT(Tabela1[[#This Row],[Data_Desligamento]],"mmm")</f>
        <v>jan</v>
      </c>
      <c r="P159" s="17">
        <f>YEAR(Tabela1[[#This Row],[Data_Admissão]])</f>
        <v>2025</v>
      </c>
      <c r="Q159" s="17" t="str">
        <f>IF(Tabela1[[#This Row],[Data_Desligamento]]="", "", YEAR(Tabela1[[#This Row],[Data_Desligamento]]))</f>
        <v/>
      </c>
      <c r="R159" s="17"/>
    </row>
    <row r="160" spans="1:18">
      <c r="A160" s="1">
        <v>159</v>
      </c>
      <c r="B160" s="1" t="s">
        <v>262</v>
      </c>
      <c r="C160" s="2">
        <v>37426</v>
      </c>
      <c r="D160" s="1" t="s">
        <v>19</v>
      </c>
      <c r="E160" s="1">
        <v>1202</v>
      </c>
      <c r="F160" s="1" t="s">
        <v>63</v>
      </c>
      <c r="G160" s="10">
        <v>11273</v>
      </c>
      <c r="H160" s="1" t="s">
        <v>21</v>
      </c>
      <c r="I160" s="2">
        <v>45712</v>
      </c>
      <c r="K160" s="1" t="s">
        <v>22</v>
      </c>
      <c r="L160" s="1" t="s">
        <v>22</v>
      </c>
      <c r="M160" s="14" t="str">
        <f>IF(Tabela1[[#This Row],[Data_Desligamento]]="","ATIVO","INATIVO")</f>
        <v>ATIVO</v>
      </c>
      <c r="N160" s="14" t="str">
        <f>TEXT(Tabela1[[#This Row],[Data_Admissão]],"mmm")</f>
        <v>fev</v>
      </c>
      <c r="O160" s="14" t="str">
        <f>TEXT(Tabela1[[#This Row],[Data_Desligamento]],"mmm")</f>
        <v>jan</v>
      </c>
      <c r="P160" s="17">
        <f>YEAR(Tabela1[[#This Row],[Data_Admissão]])</f>
        <v>2025</v>
      </c>
      <c r="Q160" s="17" t="str">
        <f>IF(Tabela1[[#This Row],[Data_Desligamento]]="", "", YEAR(Tabela1[[#This Row],[Data_Desligamento]]))</f>
        <v/>
      </c>
      <c r="R160" s="17"/>
    </row>
    <row r="161" spans="1:18">
      <c r="A161" s="1">
        <v>160</v>
      </c>
      <c r="B161" s="1" t="s">
        <v>263</v>
      </c>
      <c r="C161" s="2">
        <v>36437</v>
      </c>
      <c r="D161" s="1" t="s">
        <v>19</v>
      </c>
      <c r="E161" s="1">
        <v>1124</v>
      </c>
      <c r="F161" s="1" t="s">
        <v>38</v>
      </c>
      <c r="G161" s="10">
        <v>17308</v>
      </c>
      <c r="H161" s="1" t="s">
        <v>39</v>
      </c>
      <c r="I161" s="2">
        <v>45714</v>
      </c>
      <c r="K161" s="1" t="s">
        <v>92</v>
      </c>
      <c r="L161" s="1" t="s">
        <v>22</v>
      </c>
      <c r="M161" s="14" t="str">
        <f>IF(Tabela1[[#This Row],[Data_Desligamento]]="","ATIVO","INATIVO")</f>
        <v>ATIVO</v>
      </c>
      <c r="N161" s="14" t="str">
        <f>TEXT(Tabela1[[#This Row],[Data_Admissão]],"mmm")</f>
        <v>fev</v>
      </c>
      <c r="O161" s="14" t="str">
        <f>TEXT(Tabela1[[#This Row],[Data_Desligamento]],"mmm")</f>
        <v>jan</v>
      </c>
      <c r="P161" s="17">
        <f>YEAR(Tabela1[[#This Row],[Data_Admissão]])</f>
        <v>2025</v>
      </c>
      <c r="Q161" s="17" t="str">
        <f>IF(Tabela1[[#This Row],[Data_Desligamento]]="", "", YEAR(Tabela1[[#This Row],[Data_Desligamento]]))</f>
        <v/>
      </c>
      <c r="R161" s="17"/>
    </row>
    <row r="162" spans="1:18">
      <c r="A162" s="1">
        <v>161</v>
      </c>
      <c r="B162" s="1" t="s">
        <v>264</v>
      </c>
      <c r="C162" s="2">
        <v>37928</v>
      </c>
      <c r="D162" s="1" t="s">
        <v>19</v>
      </c>
      <c r="E162" s="1">
        <v>1020</v>
      </c>
      <c r="F162" s="1" t="s">
        <v>30</v>
      </c>
      <c r="G162" s="10">
        <v>9739</v>
      </c>
      <c r="H162" s="1" t="s">
        <v>31</v>
      </c>
      <c r="I162" s="2">
        <v>45714</v>
      </c>
      <c r="K162" s="1" t="s">
        <v>22</v>
      </c>
      <c r="L162" s="1" t="s">
        <v>22</v>
      </c>
      <c r="M162" s="14" t="str">
        <f>IF(Tabela1[[#This Row],[Data_Desligamento]]="","ATIVO","INATIVO")</f>
        <v>ATIVO</v>
      </c>
      <c r="N162" s="14" t="str">
        <f>TEXT(Tabela1[[#This Row],[Data_Admissão]],"mmm")</f>
        <v>fev</v>
      </c>
      <c r="O162" s="14" t="str">
        <f>TEXT(Tabela1[[#This Row],[Data_Desligamento]],"mmm")</f>
        <v>jan</v>
      </c>
      <c r="P162" s="17">
        <f>YEAR(Tabela1[[#This Row],[Data_Admissão]])</f>
        <v>2025</v>
      </c>
      <c r="Q162" s="17" t="str">
        <f>IF(Tabela1[[#This Row],[Data_Desligamento]]="", "", YEAR(Tabela1[[#This Row],[Data_Desligamento]]))</f>
        <v/>
      </c>
      <c r="R162" s="17"/>
    </row>
    <row r="163" spans="1:18">
      <c r="A163" s="1">
        <v>162</v>
      </c>
      <c r="B163" s="1" t="s">
        <v>265</v>
      </c>
      <c r="C163" s="2">
        <v>26065</v>
      </c>
      <c r="D163" s="1" t="s">
        <v>19</v>
      </c>
      <c r="E163" s="1">
        <v>1326</v>
      </c>
      <c r="F163" s="1" t="s">
        <v>81</v>
      </c>
      <c r="G163" s="10">
        <v>1496</v>
      </c>
      <c r="H163" s="1" t="s">
        <v>45</v>
      </c>
      <c r="I163" s="2">
        <v>45719</v>
      </c>
      <c r="K163" s="1" t="s">
        <v>95</v>
      </c>
      <c r="L163" s="1" t="s">
        <v>22</v>
      </c>
      <c r="M163" s="14" t="str">
        <f>IF(Tabela1[[#This Row],[Data_Desligamento]]="","ATIVO","INATIVO")</f>
        <v>ATIVO</v>
      </c>
      <c r="N163" s="14" t="str">
        <f>TEXT(Tabela1[[#This Row],[Data_Admissão]],"mmm")</f>
        <v>mar</v>
      </c>
      <c r="O163" s="14" t="str">
        <f>TEXT(Tabela1[[#This Row],[Data_Desligamento]],"mmm")</f>
        <v>jan</v>
      </c>
      <c r="P163" s="17">
        <f>YEAR(Tabela1[[#This Row],[Data_Admissão]])</f>
        <v>2025</v>
      </c>
      <c r="Q163" s="17" t="str">
        <f>IF(Tabela1[[#This Row],[Data_Desligamento]]="", "", YEAR(Tabela1[[#This Row],[Data_Desligamento]]))</f>
        <v/>
      </c>
      <c r="R163" s="17"/>
    </row>
    <row r="164" spans="1:18">
      <c r="A164" s="1">
        <v>163</v>
      </c>
      <c r="B164" s="1" t="s">
        <v>266</v>
      </c>
      <c r="C164" s="2">
        <v>36741</v>
      </c>
      <c r="D164" s="1" t="s">
        <v>19</v>
      </c>
      <c r="E164" s="1">
        <v>1043</v>
      </c>
      <c r="F164" s="1" t="s">
        <v>68</v>
      </c>
      <c r="G164" s="10">
        <v>1932</v>
      </c>
      <c r="H164" s="1" t="s">
        <v>54</v>
      </c>
      <c r="I164" s="2">
        <v>45720</v>
      </c>
      <c r="K164" s="1" t="s">
        <v>98</v>
      </c>
      <c r="L164" s="1" t="s">
        <v>22</v>
      </c>
      <c r="M164" s="14" t="str">
        <f>IF(Tabela1[[#This Row],[Data_Desligamento]]="","ATIVO","INATIVO")</f>
        <v>ATIVO</v>
      </c>
      <c r="N164" s="14" t="str">
        <f>TEXT(Tabela1[[#This Row],[Data_Admissão]],"mmm")</f>
        <v>mar</v>
      </c>
      <c r="O164" s="14" t="str">
        <f>TEXT(Tabela1[[#This Row],[Data_Desligamento]],"mmm")</f>
        <v>jan</v>
      </c>
      <c r="P164" s="17">
        <f>YEAR(Tabela1[[#This Row],[Data_Admissão]])</f>
        <v>2025</v>
      </c>
      <c r="Q164" s="17" t="str">
        <f>IF(Tabela1[[#This Row],[Data_Desligamento]]="", "", YEAR(Tabela1[[#This Row],[Data_Desligamento]]))</f>
        <v/>
      </c>
      <c r="R164" s="17"/>
    </row>
    <row r="165" spans="1:18">
      <c r="A165" s="1">
        <v>164</v>
      </c>
      <c r="B165" s="1" t="s">
        <v>267</v>
      </c>
      <c r="C165" s="2">
        <v>30162</v>
      </c>
      <c r="D165" s="1" t="s">
        <v>19</v>
      </c>
      <c r="E165" s="1">
        <v>1284</v>
      </c>
      <c r="F165" s="1" t="s">
        <v>20</v>
      </c>
      <c r="G165" s="10">
        <v>2567</v>
      </c>
      <c r="H165" s="1" t="s">
        <v>21</v>
      </c>
      <c r="I165" s="2">
        <v>45723</v>
      </c>
      <c r="K165" s="1" t="s">
        <v>100</v>
      </c>
      <c r="L165" s="1" t="s">
        <v>22</v>
      </c>
      <c r="M165" s="14" t="str">
        <f>IF(Tabela1[[#This Row],[Data_Desligamento]]="","ATIVO","INATIVO")</f>
        <v>ATIVO</v>
      </c>
      <c r="N165" s="14" t="str">
        <f>TEXT(Tabela1[[#This Row],[Data_Admissão]],"mmm")</f>
        <v>mar</v>
      </c>
      <c r="O165" s="14" t="str">
        <f>TEXT(Tabela1[[#This Row],[Data_Desligamento]],"mmm")</f>
        <v>jan</v>
      </c>
      <c r="P165" s="17">
        <f>YEAR(Tabela1[[#This Row],[Data_Admissão]])</f>
        <v>2025</v>
      </c>
      <c r="Q165" s="17" t="str">
        <f>IF(Tabela1[[#This Row],[Data_Desligamento]]="", "", YEAR(Tabela1[[#This Row],[Data_Desligamento]]))</f>
        <v/>
      </c>
      <c r="R165" s="17"/>
    </row>
    <row r="166" spans="1:18">
      <c r="A166" s="1">
        <v>165</v>
      </c>
      <c r="B166" s="1" t="s">
        <v>268</v>
      </c>
      <c r="C166" s="2">
        <v>37968</v>
      </c>
      <c r="D166" s="1" t="s">
        <v>19</v>
      </c>
      <c r="E166" s="1">
        <v>1158</v>
      </c>
      <c r="F166" s="1" t="s">
        <v>138</v>
      </c>
      <c r="G166" s="10">
        <v>14151</v>
      </c>
      <c r="H166" s="1" t="s">
        <v>139</v>
      </c>
      <c r="I166" s="2">
        <v>45724</v>
      </c>
      <c r="J166" s="2">
        <v>45888</v>
      </c>
      <c r="K166" s="1" t="s">
        <v>22</v>
      </c>
      <c r="L166" s="1" t="s">
        <v>269</v>
      </c>
      <c r="M166" s="14" t="str">
        <f>IF(Tabela1[[#This Row],[Data_Desligamento]]="","ATIVO","INATIVO")</f>
        <v>INATIVO</v>
      </c>
      <c r="N166" s="14" t="str">
        <f>TEXT(Tabela1[[#This Row],[Data_Admissão]],"mmm")</f>
        <v>mar</v>
      </c>
      <c r="O166" s="14" t="str">
        <f>TEXT(Tabela1[[#This Row],[Data_Desligamento]],"mmm")</f>
        <v>ago</v>
      </c>
      <c r="P166" s="17">
        <f>YEAR(Tabela1[[#This Row],[Data_Admissão]])</f>
        <v>2025</v>
      </c>
      <c r="Q166" s="17">
        <f>IF(Tabela1[[#This Row],[Data_Desligamento]]="", "", YEAR(Tabela1[[#This Row],[Data_Desligamento]]))</f>
        <v>2025</v>
      </c>
      <c r="R166" s="17"/>
    </row>
    <row r="167" spans="1:18">
      <c r="A167" s="1">
        <v>166</v>
      </c>
      <c r="B167" s="1" t="s">
        <v>270</v>
      </c>
      <c r="C167" s="2">
        <v>28617</v>
      </c>
      <c r="D167" s="1" t="s">
        <v>19</v>
      </c>
      <c r="E167" s="1">
        <v>1113</v>
      </c>
      <c r="F167" s="1" t="s">
        <v>57</v>
      </c>
      <c r="G167" s="10">
        <v>7241</v>
      </c>
      <c r="H167" s="1" t="s">
        <v>34</v>
      </c>
      <c r="I167" s="2">
        <v>45728</v>
      </c>
      <c r="K167" s="1" t="s">
        <v>103</v>
      </c>
      <c r="L167" s="1" t="s">
        <v>22</v>
      </c>
      <c r="M167" s="14" t="str">
        <f>IF(Tabela1[[#This Row],[Data_Desligamento]]="","ATIVO","INATIVO")</f>
        <v>ATIVO</v>
      </c>
      <c r="N167" s="14" t="str">
        <f>TEXT(Tabela1[[#This Row],[Data_Admissão]],"mmm")</f>
        <v>mar</v>
      </c>
      <c r="O167" s="14" t="str">
        <f>TEXT(Tabela1[[#This Row],[Data_Desligamento]],"mmm")</f>
        <v>jan</v>
      </c>
      <c r="P167" s="17">
        <f>YEAR(Tabela1[[#This Row],[Data_Admissão]])</f>
        <v>2025</v>
      </c>
      <c r="Q167" s="17" t="str">
        <f>IF(Tabela1[[#This Row],[Data_Desligamento]]="", "", YEAR(Tabela1[[#This Row],[Data_Desligamento]]))</f>
        <v/>
      </c>
      <c r="R167" s="17"/>
    </row>
    <row r="168" spans="1:18">
      <c r="A168" s="1">
        <v>167</v>
      </c>
      <c r="B168" s="1" t="s">
        <v>271</v>
      </c>
      <c r="C168" s="2">
        <v>27570</v>
      </c>
      <c r="D168" s="1" t="s">
        <v>19</v>
      </c>
      <c r="E168" s="1">
        <v>1188</v>
      </c>
      <c r="F168" s="1" t="s">
        <v>89</v>
      </c>
      <c r="G168" s="10">
        <v>3314</v>
      </c>
      <c r="H168" s="1" t="s">
        <v>77</v>
      </c>
      <c r="I168" s="2">
        <v>45730</v>
      </c>
      <c r="K168" s="1" t="s">
        <v>22</v>
      </c>
      <c r="L168" s="1" t="s">
        <v>22</v>
      </c>
      <c r="M168" s="14" t="str">
        <f>IF(Tabela1[[#This Row],[Data_Desligamento]]="","ATIVO","INATIVO")</f>
        <v>ATIVO</v>
      </c>
      <c r="N168" s="14" t="str">
        <f>TEXT(Tabela1[[#This Row],[Data_Admissão]],"mmm")</f>
        <v>mar</v>
      </c>
      <c r="O168" s="14" t="str">
        <f>TEXT(Tabela1[[#This Row],[Data_Desligamento]],"mmm")</f>
        <v>jan</v>
      </c>
      <c r="P168" s="17">
        <f>YEAR(Tabela1[[#This Row],[Data_Admissão]])</f>
        <v>2025</v>
      </c>
      <c r="Q168" s="17" t="str">
        <f>IF(Tabela1[[#This Row],[Data_Desligamento]]="", "", YEAR(Tabela1[[#This Row],[Data_Desligamento]]))</f>
        <v/>
      </c>
      <c r="R168" s="17"/>
    </row>
    <row r="169" spans="1:18">
      <c r="A169" s="1">
        <v>168</v>
      </c>
      <c r="B169" s="1" t="s">
        <v>272</v>
      </c>
      <c r="C169" s="2">
        <v>35961</v>
      </c>
      <c r="D169" s="1" t="s">
        <v>19</v>
      </c>
      <c r="E169" s="1">
        <v>1255</v>
      </c>
      <c r="F169" s="1" t="s">
        <v>25</v>
      </c>
      <c r="G169" s="10">
        <v>2780</v>
      </c>
      <c r="H169" s="1" t="s">
        <v>26</v>
      </c>
      <c r="I169" s="2">
        <v>45731</v>
      </c>
      <c r="J169" s="2">
        <v>46044</v>
      </c>
      <c r="K169" s="1" t="s">
        <v>22</v>
      </c>
      <c r="L169" s="1" t="s">
        <v>273</v>
      </c>
      <c r="M169" s="14" t="str">
        <f>IF(Tabela1[[#This Row],[Data_Desligamento]]="","ATIVO","INATIVO")</f>
        <v>INATIVO</v>
      </c>
      <c r="N169" s="14" t="str">
        <f>TEXT(Tabela1[[#This Row],[Data_Admissão]],"mmm")</f>
        <v>mar</v>
      </c>
      <c r="O169" s="14" t="str">
        <f>TEXT(Tabela1[[#This Row],[Data_Desligamento]],"mmm")</f>
        <v>jan</v>
      </c>
      <c r="P169" s="17">
        <f>YEAR(Tabela1[[#This Row],[Data_Admissão]])</f>
        <v>2025</v>
      </c>
      <c r="Q169" s="17">
        <f>IF(Tabela1[[#This Row],[Data_Desligamento]]="", "", YEAR(Tabela1[[#This Row],[Data_Desligamento]]))</f>
        <v>2026</v>
      </c>
      <c r="R169" s="17"/>
    </row>
    <row r="170" spans="1:18">
      <c r="A170" s="1">
        <v>169</v>
      </c>
      <c r="B170" s="1" t="s">
        <v>274</v>
      </c>
      <c r="C170" s="2">
        <v>30029</v>
      </c>
      <c r="D170" s="1" t="s">
        <v>19</v>
      </c>
      <c r="E170" s="1">
        <v>1294</v>
      </c>
      <c r="F170" s="1" t="s">
        <v>57</v>
      </c>
      <c r="G170" s="10">
        <v>5293</v>
      </c>
      <c r="H170" s="1" t="s">
        <v>34</v>
      </c>
      <c r="I170" s="2">
        <v>45739</v>
      </c>
      <c r="J170" s="2">
        <v>45833</v>
      </c>
      <c r="K170" s="1" t="s">
        <v>22</v>
      </c>
      <c r="L170" s="1" t="s">
        <v>275</v>
      </c>
      <c r="M170" s="14" t="str">
        <f>IF(Tabela1[[#This Row],[Data_Desligamento]]="","ATIVO","INATIVO")</f>
        <v>INATIVO</v>
      </c>
      <c r="N170" s="14" t="str">
        <f>TEXT(Tabela1[[#This Row],[Data_Admissão]],"mmm")</f>
        <v>mar</v>
      </c>
      <c r="O170" s="14" t="str">
        <f>TEXT(Tabela1[[#This Row],[Data_Desligamento]],"mmm")</f>
        <v>jun</v>
      </c>
      <c r="P170" s="17">
        <f>YEAR(Tabela1[[#This Row],[Data_Admissão]])</f>
        <v>2025</v>
      </c>
      <c r="Q170" s="17">
        <f>IF(Tabela1[[#This Row],[Data_Desligamento]]="", "", YEAR(Tabela1[[#This Row],[Data_Desligamento]]))</f>
        <v>2025</v>
      </c>
      <c r="R170" s="17"/>
    </row>
    <row r="171" spans="1:18">
      <c r="A171" s="1">
        <v>170</v>
      </c>
      <c r="B171" s="1" t="s">
        <v>276</v>
      </c>
      <c r="C171" s="2">
        <v>27557</v>
      </c>
      <c r="D171" s="1" t="s">
        <v>19</v>
      </c>
      <c r="E171" s="1">
        <v>1215</v>
      </c>
      <c r="F171" s="1" t="s">
        <v>30</v>
      </c>
      <c r="G171" s="10">
        <v>13702</v>
      </c>
      <c r="H171" s="1" t="s">
        <v>31</v>
      </c>
      <c r="I171" s="2">
        <v>45744</v>
      </c>
      <c r="K171" s="1" t="s">
        <v>105</v>
      </c>
      <c r="L171" s="1" t="s">
        <v>22</v>
      </c>
      <c r="M171" s="14" t="str">
        <f>IF(Tabela1[[#This Row],[Data_Desligamento]]="","ATIVO","INATIVO")</f>
        <v>ATIVO</v>
      </c>
      <c r="N171" s="14" t="str">
        <f>TEXT(Tabela1[[#This Row],[Data_Admissão]],"mmm")</f>
        <v>mar</v>
      </c>
      <c r="O171" s="14" t="str">
        <f>TEXT(Tabela1[[#This Row],[Data_Desligamento]],"mmm")</f>
        <v>jan</v>
      </c>
      <c r="P171" s="17">
        <f>YEAR(Tabela1[[#This Row],[Data_Admissão]])</f>
        <v>2025</v>
      </c>
      <c r="Q171" s="17" t="str">
        <f>IF(Tabela1[[#This Row],[Data_Desligamento]]="", "", YEAR(Tabela1[[#This Row],[Data_Desligamento]]))</f>
        <v/>
      </c>
      <c r="R171" s="17"/>
    </row>
    <row r="172" spans="1:18">
      <c r="A172" s="1">
        <v>171</v>
      </c>
      <c r="B172" s="1" t="s">
        <v>277</v>
      </c>
      <c r="C172" s="2">
        <v>36722</v>
      </c>
      <c r="D172" s="1" t="s">
        <v>19</v>
      </c>
      <c r="E172" s="1">
        <v>1055</v>
      </c>
      <c r="F172" s="1" t="s">
        <v>44</v>
      </c>
      <c r="G172" s="10">
        <v>4400</v>
      </c>
      <c r="H172" s="1" t="s">
        <v>45</v>
      </c>
      <c r="I172" s="2">
        <v>45749</v>
      </c>
      <c r="J172" s="2">
        <v>45927</v>
      </c>
      <c r="K172" s="1" t="s">
        <v>107</v>
      </c>
      <c r="L172" s="1" t="s">
        <v>278</v>
      </c>
      <c r="M172" s="14" t="str">
        <f>IF(Tabela1[[#This Row],[Data_Desligamento]]="","ATIVO","INATIVO")</f>
        <v>INATIVO</v>
      </c>
      <c r="N172" s="14" t="str">
        <f>TEXT(Tabela1[[#This Row],[Data_Admissão]],"mmm")</f>
        <v>abr</v>
      </c>
      <c r="O172" s="14" t="str">
        <f>TEXT(Tabela1[[#This Row],[Data_Desligamento]],"mmm")</f>
        <v>set</v>
      </c>
      <c r="P172" s="17">
        <f>YEAR(Tabela1[[#This Row],[Data_Admissão]])</f>
        <v>2025</v>
      </c>
      <c r="Q172" s="17">
        <f>IF(Tabela1[[#This Row],[Data_Desligamento]]="", "", YEAR(Tabela1[[#This Row],[Data_Desligamento]]))</f>
        <v>2025</v>
      </c>
      <c r="R172" s="17"/>
    </row>
    <row r="173" spans="1:18">
      <c r="A173" s="1">
        <v>172</v>
      </c>
      <c r="B173" s="1" t="s">
        <v>279</v>
      </c>
      <c r="C173" s="2">
        <v>32292</v>
      </c>
      <c r="D173" s="1" t="s">
        <v>19</v>
      </c>
      <c r="E173" s="1">
        <v>1299</v>
      </c>
      <c r="F173" s="1" t="s">
        <v>138</v>
      </c>
      <c r="G173" s="10">
        <v>12926</v>
      </c>
      <c r="H173" s="1" t="s">
        <v>139</v>
      </c>
      <c r="I173" s="2">
        <v>45750</v>
      </c>
      <c r="K173" s="1" t="s">
        <v>22</v>
      </c>
      <c r="L173" s="1" t="s">
        <v>22</v>
      </c>
      <c r="M173" s="14" t="str">
        <f>IF(Tabela1[[#This Row],[Data_Desligamento]]="","ATIVO","INATIVO")</f>
        <v>ATIVO</v>
      </c>
      <c r="N173" s="14" t="str">
        <f>TEXT(Tabela1[[#This Row],[Data_Admissão]],"mmm")</f>
        <v>abr</v>
      </c>
      <c r="O173" s="14" t="str">
        <f>TEXT(Tabela1[[#This Row],[Data_Desligamento]],"mmm")</f>
        <v>jan</v>
      </c>
      <c r="P173" s="17">
        <f>YEAR(Tabela1[[#This Row],[Data_Admissão]])</f>
        <v>2025</v>
      </c>
      <c r="Q173" s="17" t="str">
        <f>IF(Tabela1[[#This Row],[Data_Desligamento]]="", "", YEAR(Tabela1[[#This Row],[Data_Desligamento]]))</f>
        <v/>
      </c>
      <c r="R173" s="17"/>
    </row>
    <row r="174" spans="1:18">
      <c r="A174" s="1">
        <v>173</v>
      </c>
      <c r="B174" s="1" t="s">
        <v>280</v>
      </c>
      <c r="C174" s="2">
        <v>25849</v>
      </c>
      <c r="D174" s="1" t="s">
        <v>19</v>
      </c>
      <c r="E174" s="1">
        <v>1107</v>
      </c>
      <c r="F174" s="1" t="s">
        <v>25</v>
      </c>
      <c r="G174" s="10">
        <v>3334</v>
      </c>
      <c r="H174" s="1" t="s">
        <v>26</v>
      </c>
      <c r="I174" s="2">
        <v>45754</v>
      </c>
      <c r="J174" s="2">
        <v>45924</v>
      </c>
      <c r="K174" s="1" t="s">
        <v>109</v>
      </c>
      <c r="L174" s="1" t="s">
        <v>281</v>
      </c>
      <c r="M174" s="14" t="str">
        <f>IF(Tabela1[[#This Row],[Data_Desligamento]]="","ATIVO","INATIVO")</f>
        <v>INATIVO</v>
      </c>
      <c r="N174" s="14" t="str">
        <f>TEXT(Tabela1[[#This Row],[Data_Admissão]],"mmm")</f>
        <v>abr</v>
      </c>
      <c r="O174" s="14" t="str">
        <f>TEXT(Tabela1[[#This Row],[Data_Desligamento]],"mmm")</f>
        <v>set</v>
      </c>
      <c r="P174" s="17">
        <f>YEAR(Tabela1[[#This Row],[Data_Admissão]])</f>
        <v>2025</v>
      </c>
      <c r="Q174" s="17">
        <f>IF(Tabela1[[#This Row],[Data_Desligamento]]="", "", YEAR(Tabela1[[#This Row],[Data_Desligamento]]))</f>
        <v>2025</v>
      </c>
      <c r="R174" s="17"/>
    </row>
    <row r="175" spans="1:18">
      <c r="A175" s="1">
        <v>174</v>
      </c>
      <c r="B175" s="1" t="s">
        <v>282</v>
      </c>
      <c r="C175" s="2">
        <v>27099</v>
      </c>
      <c r="D175" s="1" t="s">
        <v>19</v>
      </c>
      <c r="E175" s="1">
        <v>1132</v>
      </c>
      <c r="F175" s="1" t="s">
        <v>68</v>
      </c>
      <c r="G175" s="10">
        <v>3012</v>
      </c>
      <c r="H175" s="1" t="s">
        <v>54</v>
      </c>
      <c r="I175" s="2">
        <v>45757</v>
      </c>
      <c r="K175" s="1" t="s">
        <v>113</v>
      </c>
      <c r="L175" s="1" t="s">
        <v>22</v>
      </c>
      <c r="M175" s="14" t="str">
        <f>IF(Tabela1[[#This Row],[Data_Desligamento]]="","ATIVO","INATIVO")</f>
        <v>ATIVO</v>
      </c>
      <c r="N175" s="14" t="str">
        <f>TEXT(Tabela1[[#This Row],[Data_Admissão]],"mmm")</f>
        <v>abr</v>
      </c>
      <c r="O175" s="14" t="str">
        <f>TEXT(Tabela1[[#This Row],[Data_Desligamento]],"mmm")</f>
        <v>jan</v>
      </c>
      <c r="P175" s="17">
        <f>YEAR(Tabela1[[#This Row],[Data_Admissão]])</f>
        <v>2025</v>
      </c>
      <c r="Q175" s="17" t="str">
        <f>IF(Tabela1[[#This Row],[Data_Desligamento]]="", "", YEAR(Tabela1[[#This Row],[Data_Desligamento]]))</f>
        <v/>
      </c>
      <c r="R175" s="17"/>
    </row>
    <row r="176" spans="1:18">
      <c r="A176" s="1">
        <v>175</v>
      </c>
      <c r="B176" s="1" t="s">
        <v>283</v>
      </c>
      <c r="C176" s="2">
        <v>34893</v>
      </c>
      <c r="D176" s="1" t="s">
        <v>19</v>
      </c>
      <c r="E176" s="1">
        <v>1157</v>
      </c>
      <c r="F176" s="1" t="s">
        <v>76</v>
      </c>
      <c r="G176" s="10">
        <v>4203</v>
      </c>
      <c r="H176" s="1" t="s">
        <v>77</v>
      </c>
      <c r="I176" s="2">
        <v>45759</v>
      </c>
      <c r="K176" s="1" t="s">
        <v>115</v>
      </c>
      <c r="L176" s="1" t="s">
        <v>22</v>
      </c>
      <c r="M176" s="14" t="str">
        <f>IF(Tabela1[[#This Row],[Data_Desligamento]]="","ATIVO","INATIVO")</f>
        <v>ATIVO</v>
      </c>
      <c r="N176" s="14" t="str">
        <f>TEXT(Tabela1[[#This Row],[Data_Admissão]],"mmm")</f>
        <v>abr</v>
      </c>
      <c r="O176" s="14" t="str">
        <f>TEXT(Tabela1[[#This Row],[Data_Desligamento]],"mmm")</f>
        <v>jan</v>
      </c>
      <c r="P176" s="17">
        <f>YEAR(Tabela1[[#This Row],[Data_Admissão]])</f>
        <v>2025</v>
      </c>
      <c r="Q176" s="17" t="str">
        <f>IF(Tabela1[[#This Row],[Data_Desligamento]]="", "", YEAR(Tabela1[[#This Row],[Data_Desligamento]]))</f>
        <v/>
      </c>
      <c r="R176" s="17"/>
    </row>
    <row r="177" spans="1:18">
      <c r="A177" s="1">
        <v>176</v>
      </c>
      <c r="B177" s="1" t="s">
        <v>192</v>
      </c>
      <c r="C177" s="2">
        <v>26005</v>
      </c>
      <c r="D177" s="1" t="s">
        <v>19</v>
      </c>
      <c r="E177" s="1">
        <v>1338</v>
      </c>
      <c r="F177" s="1" t="s">
        <v>44</v>
      </c>
      <c r="G177" s="10">
        <v>7612</v>
      </c>
      <c r="H177" s="1" t="s">
        <v>45</v>
      </c>
      <c r="I177" s="2">
        <v>45769</v>
      </c>
      <c r="K177" s="1" t="s">
        <v>118</v>
      </c>
      <c r="L177" s="1" t="s">
        <v>22</v>
      </c>
      <c r="M177" s="14" t="str">
        <f>IF(Tabela1[[#This Row],[Data_Desligamento]]="","ATIVO","INATIVO")</f>
        <v>ATIVO</v>
      </c>
      <c r="N177" s="14" t="str">
        <f>TEXT(Tabela1[[#This Row],[Data_Admissão]],"mmm")</f>
        <v>abr</v>
      </c>
      <c r="O177" s="14" t="str">
        <f>TEXT(Tabela1[[#This Row],[Data_Desligamento]],"mmm")</f>
        <v>jan</v>
      </c>
      <c r="P177" s="17">
        <f>YEAR(Tabela1[[#This Row],[Data_Admissão]])</f>
        <v>2025</v>
      </c>
      <c r="Q177" s="17" t="str">
        <f>IF(Tabela1[[#This Row],[Data_Desligamento]]="", "", YEAR(Tabela1[[#This Row],[Data_Desligamento]]))</f>
        <v/>
      </c>
      <c r="R177" s="17"/>
    </row>
    <row r="178" spans="1:18">
      <c r="A178" s="1">
        <v>177</v>
      </c>
      <c r="B178" s="1" t="s">
        <v>284</v>
      </c>
      <c r="C178" s="2">
        <v>30095</v>
      </c>
      <c r="D178" s="1" t="s">
        <v>19</v>
      </c>
      <c r="E178" s="1">
        <v>1070</v>
      </c>
      <c r="F178" s="1" t="s">
        <v>63</v>
      </c>
      <c r="G178" s="10">
        <v>8688</v>
      </c>
      <c r="H178" s="1" t="s">
        <v>21</v>
      </c>
      <c r="I178" s="2">
        <v>45770</v>
      </c>
      <c r="K178" s="1" t="s">
        <v>120</v>
      </c>
      <c r="L178" s="1" t="s">
        <v>22</v>
      </c>
      <c r="M178" s="14" t="str">
        <f>IF(Tabela1[[#This Row],[Data_Desligamento]]="","ATIVO","INATIVO")</f>
        <v>ATIVO</v>
      </c>
      <c r="N178" s="14" t="str">
        <f>TEXT(Tabela1[[#This Row],[Data_Admissão]],"mmm")</f>
        <v>abr</v>
      </c>
      <c r="O178" s="14" t="str">
        <f>TEXT(Tabela1[[#This Row],[Data_Desligamento]],"mmm")</f>
        <v>jan</v>
      </c>
      <c r="P178" s="17">
        <f>YEAR(Tabela1[[#This Row],[Data_Admissão]])</f>
        <v>2025</v>
      </c>
      <c r="Q178" s="17" t="str">
        <f>IF(Tabela1[[#This Row],[Data_Desligamento]]="", "", YEAR(Tabela1[[#This Row],[Data_Desligamento]]))</f>
        <v/>
      </c>
      <c r="R178" s="17"/>
    </row>
    <row r="179" spans="1:18">
      <c r="A179" s="1">
        <v>178</v>
      </c>
      <c r="B179" s="1" t="s">
        <v>285</v>
      </c>
      <c r="C179" s="2">
        <v>33356</v>
      </c>
      <c r="D179" s="1" t="s">
        <v>19</v>
      </c>
      <c r="E179" s="1">
        <v>1344</v>
      </c>
      <c r="F179" s="1" t="s">
        <v>30</v>
      </c>
      <c r="G179" s="10">
        <v>13645</v>
      </c>
      <c r="H179" s="1" t="s">
        <v>31</v>
      </c>
      <c r="I179" s="2">
        <v>45778</v>
      </c>
      <c r="K179" s="1" t="s">
        <v>123</v>
      </c>
      <c r="L179" s="1" t="s">
        <v>22</v>
      </c>
      <c r="M179" s="14" t="str">
        <f>IF(Tabela1[[#This Row],[Data_Desligamento]]="","ATIVO","INATIVO")</f>
        <v>ATIVO</v>
      </c>
      <c r="N179" s="14" t="str">
        <f>TEXT(Tabela1[[#This Row],[Data_Admissão]],"mmm")</f>
        <v>mai</v>
      </c>
      <c r="O179" s="14" t="str">
        <f>TEXT(Tabela1[[#This Row],[Data_Desligamento]],"mmm")</f>
        <v>jan</v>
      </c>
      <c r="P179" s="17">
        <f>YEAR(Tabela1[[#This Row],[Data_Admissão]])</f>
        <v>2025</v>
      </c>
      <c r="Q179" s="17" t="str">
        <f>IF(Tabela1[[#This Row],[Data_Desligamento]]="", "", YEAR(Tabela1[[#This Row],[Data_Desligamento]]))</f>
        <v/>
      </c>
      <c r="R179" s="17"/>
    </row>
    <row r="180" spans="1:18">
      <c r="A180" s="1">
        <v>179</v>
      </c>
      <c r="B180" s="1" t="s">
        <v>286</v>
      </c>
      <c r="C180" s="2">
        <v>34613</v>
      </c>
      <c r="D180" s="1" t="s">
        <v>19</v>
      </c>
      <c r="E180" s="1">
        <v>1098</v>
      </c>
      <c r="F180" s="1" t="s">
        <v>25</v>
      </c>
      <c r="G180" s="10">
        <v>4081</v>
      </c>
      <c r="H180" s="1" t="s">
        <v>26</v>
      </c>
      <c r="I180" s="2">
        <v>45781</v>
      </c>
      <c r="K180" s="1" t="s">
        <v>22</v>
      </c>
      <c r="L180" s="1" t="s">
        <v>22</v>
      </c>
      <c r="M180" s="14" t="str">
        <f>IF(Tabela1[[#This Row],[Data_Desligamento]]="","ATIVO","INATIVO")</f>
        <v>ATIVO</v>
      </c>
      <c r="N180" s="14" t="str">
        <f>TEXT(Tabela1[[#This Row],[Data_Admissão]],"mmm")</f>
        <v>mai</v>
      </c>
      <c r="O180" s="14" t="str">
        <f>TEXT(Tabela1[[#This Row],[Data_Desligamento]],"mmm")</f>
        <v>jan</v>
      </c>
      <c r="P180" s="17">
        <f>YEAR(Tabela1[[#This Row],[Data_Admissão]])</f>
        <v>2025</v>
      </c>
      <c r="Q180" s="17" t="str">
        <f>IF(Tabela1[[#This Row],[Data_Desligamento]]="", "", YEAR(Tabela1[[#This Row],[Data_Desligamento]]))</f>
        <v/>
      </c>
      <c r="R180" s="17"/>
    </row>
    <row r="181" spans="1:18">
      <c r="A181" s="1">
        <v>180</v>
      </c>
      <c r="B181" s="1" t="s">
        <v>287</v>
      </c>
      <c r="C181" s="2">
        <v>33978</v>
      </c>
      <c r="D181" s="1" t="s">
        <v>19</v>
      </c>
      <c r="E181" s="1">
        <v>1296</v>
      </c>
      <c r="F181" s="1" t="s">
        <v>48</v>
      </c>
      <c r="G181" s="10">
        <v>3036</v>
      </c>
      <c r="H181" s="1" t="s">
        <v>26</v>
      </c>
      <c r="I181" s="2">
        <v>45781</v>
      </c>
      <c r="K181" s="1" t="s">
        <v>22</v>
      </c>
      <c r="L181" s="1" t="s">
        <v>22</v>
      </c>
      <c r="M181" s="14" t="str">
        <f>IF(Tabela1[[#This Row],[Data_Desligamento]]="","ATIVO","INATIVO")</f>
        <v>ATIVO</v>
      </c>
      <c r="N181" s="14" t="str">
        <f>TEXT(Tabela1[[#This Row],[Data_Admissão]],"mmm")</f>
        <v>mai</v>
      </c>
      <c r="O181" s="14" t="str">
        <f>TEXT(Tabela1[[#This Row],[Data_Desligamento]],"mmm")</f>
        <v>jan</v>
      </c>
      <c r="P181" s="17">
        <f>YEAR(Tabela1[[#This Row],[Data_Admissão]])</f>
        <v>2025</v>
      </c>
      <c r="Q181" s="17" t="str">
        <f>IF(Tabela1[[#This Row],[Data_Desligamento]]="", "", YEAR(Tabela1[[#This Row],[Data_Desligamento]]))</f>
        <v/>
      </c>
      <c r="R181" s="17"/>
    </row>
    <row r="182" spans="1:18">
      <c r="A182" s="1">
        <v>181</v>
      </c>
      <c r="B182" s="1" t="s">
        <v>288</v>
      </c>
      <c r="C182" s="2">
        <v>34048</v>
      </c>
      <c r="D182" s="1" t="s">
        <v>19</v>
      </c>
      <c r="E182" s="1">
        <v>1244</v>
      </c>
      <c r="F182" s="1" t="s">
        <v>89</v>
      </c>
      <c r="G182" s="10">
        <v>2460</v>
      </c>
      <c r="H182" s="1" t="s">
        <v>77</v>
      </c>
      <c r="I182" s="2">
        <v>45781</v>
      </c>
      <c r="J182" s="2">
        <v>45893</v>
      </c>
      <c r="K182" s="1" t="s">
        <v>125</v>
      </c>
      <c r="L182" s="1" t="s">
        <v>289</v>
      </c>
      <c r="M182" s="14" t="str">
        <f>IF(Tabela1[[#This Row],[Data_Desligamento]]="","ATIVO","INATIVO")</f>
        <v>INATIVO</v>
      </c>
      <c r="N182" s="14" t="str">
        <f>TEXT(Tabela1[[#This Row],[Data_Admissão]],"mmm")</f>
        <v>mai</v>
      </c>
      <c r="O182" s="14" t="str">
        <f>TEXT(Tabela1[[#This Row],[Data_Desligamento]],"mmm")</f>
        <v>ago</v>
      </c>
      <c r="P182" s="17">
        <f>YEAR(Tabela1[[#This Row],[Data_Admissão]])</f>
        <v>2025</v>
      </c>
      <c r="Q182" s="17">
        <f>IF(Tabela1[[#This Row],[Data_Desligamento]]="", "", YEAR(Tabela1[[#This Row],[Data_Desligamento]]))</f>
        <v>2025</v>
      </c>
      <c r="R182" s="17"/>
    </row>
    <row r="183" spans="1:18">
      <c r="A183" s="1">
        <v>182</v>
      </c>
      <c r="B183" s="1" t="s">
        <v>290</v>
      </c>
      <c r="C183" s="2">
        <v>33606</v>
      </c>
      <c r="D183" s="1" t="s">
        <v>19</v>
      </c>
      <c r="E183" s="1">
        <v>1167</v>
      </c>
      <c r="F183" s="1" t="s">
        <v>30</v>
      </c>
      <c r="G183" s="10">
        <v>7773</v>
      </c>
      <c r="H183" s="1" t="s">
        <v>31</v>
      </c>
      <c r="I183" s="2">
        <v>45782</v>
      </c>
      <c r="J183" s="2">
        <v>46014</v>
      </c>
      <c r="K183" s="1" t="s">
        <v>22</v>
      </c>
      <c r="L183" s="1" t="s">
        <v>291</v>
      </c>
      <c r="M183" s="14" t="str">
        <f>IF(Tabela1[[#This Row],[Data_Desligamento]]="","ATIVO","INATIVO")</f>
        <v>INATIVO</v>
      </c>
      <c r="N183" s="14" t="str">
        <f>TEXT(Tabela1[[#This Row],[Data_Admissão]],"mmm")</f>
        <v>mai</v>
      </c>
      <c r="O183" s="14" t="str">
        <f>TEXT(Tabela1[[#This Row],[Data_Desligamento]],"mmm")</f>
        <v>dez</v>
      </c>
      <c r="P183" s="17">
        <f>YEAR(Tabela1[[#This Row],[Data_Admissão]])</f>
        <v>2025</v>
      </c>
      <c r="Q183" s="17">
        <f>IF(Tabela1[[#This Row],[Data_Desligamento]]="", "", YEAR(Tabela1[[#This Row],[Data_Desligamento]]))</f>
        <v>2025</v>
      </c>
      <c r="R183" s="17"/>
    </row>
    <row r="184" spans="1:18">
      <c r="A184" s="1">
        <v>183</v>
      </c>
      <c r="B184" s="1" t="s">
        <v>292</v>
      </c>
      <c r="C184" s="2">
        <v>27427</v>
      </c>
      <c r="D184" s="1" t="s">
        <v>19</v>
      </c>
      <c r="E184" s="1">
        <v>1128</v>
      </c>
      <c r="F184" s="1" t="s">
        <v>89</v>
      </c>
      <c r="G184" s="10">
        <v>3020</v>
      </c>
      <c r="H184" s="1" t="s">
        <v>77</v>
      </c>
      <c r="I184" s="2">
        <v>45785</v>
      </c>
      <c r="K184" s="1" t="s">
        <v>127</v>
      </c>
      <c r="L184" s="1" t="s">
        <v>22</v>
      </c>
      <c r="M184" s="14" t="str">
        <f>IF(Tabela1[[#This Row],[Data_Desligamento]]="","ATIVO","INATIVO")</f>
        <v>ATIVO</v>
      </c>
      <c r="N184" s="14" t="str">
        <f>TEXT(Tabela1[[#This Row],[Data_Admissão]],"mmm")</f>
        <v>mai</v>
      </c>
      <c r="O184" s="14" t="str">
        <f>TEXT(Tabela1[[#This Row],[Data_Desligamento]],"mmm")</f>
        <v>jan</v>
      </c>
      <c r="P184" s="17">
        <f>YEAR(Tabela1[[#This Row],[Data_Admissão]])</f>
        <v>2025</v>
      </c>
      <c r="Q184" s="17" t="str">
        <f>IF(Tabela1[[#This Row],[Data_Desligamento]]="", "", YEAR(Tabela1[[#This Row],[Data_Desligamento]]))</f>
        <v/>
      </c>
      <c r="R184" s="17"/>
    </row>
    <row r="185" spans="1:18">
      <c r="A185" s="1">
        <v>184</v>
      </c>
      <c r="B185" s="1" t="s">
        <v>293</v>
      </c>
      <c r="C185" s="2">
        <v>32554</v>
      </c>
      <c r="D185" s="1" t="s">
        <v>19</v>
      </c>
      <c r="E185" s="1">
        <v>1110</v>
      </c>
      <c r="F185" s="1" t="s">
        <v>33</v>
      </c>
      <c r="G185" s="10">
        <v>5779</v>
      </c>
      <c r="H185" s="1" t="s">
        <v>34</v>
      </c>
      <c r="I185" s="2">
        <v>45790</v>
      </c>
      <c r="J185" s="2">
        <v>45870</v>
      </c>
      <c r="K185" s="1" t="s">
        <v>130</v>
      </c>
      <c r="L185" s="1" t="s">
        <v>294</v>
      </c>
      <c r="M185" s="14" t="str">
        <f>IF(Tabela1[[#This Row],[Data_Desligamento]]="","ATIVO","INATIVO")</f>
        <v>INATIVO</v>
      </c>
      <c r="N185" s="14" t="str">
        <f>TEXT(Tabela1[[#This Row],[Data_Admissão]],"mmm")</f>
        <v>mai</v>
      </c>
      <c r="O185" s="14" t="str">
        <f>TEXT(Tabela1[[#This Row],[Data_Desligamento]],"mmm")</f>
        <v>ago</v>
      </c>
      <c r="P185" s="17">
        <f>YEAR(Tabela1[[#This Row],[Data_Admissão]])</f>
        <v>2025</v>
      </c>
      <c r="Q185" s="17">
        <f>IF(Tabela1[[#This Row],[Data_Desligamento]]="", "", YEAR(Tabela1[[#This Row],[Data_Desligamento]]))</f>
        <v>2025</v>
      </c>
      <c r="R185" s="17"/>
    </row>
    <row r="186" spans="1:18">
      <c r="A186" s="1">
        <v>185</v>
      </c>
      <c r="B186" s="1" t="s">
        <v>295</v>
      </c>
      <c r="C186" s="2">
        <v>28437</v>
      </c>
      <c r="D186" s="1" t="s">
        <v>19</v>
      </c>
      <c r="E186" s="1">
        <v>1217</v>
      </c>
      <c r="F186" s="1" t="s">
        <v>81</v>
      </c>
      <c r="G186" s="10">
        <v>1237</v>
      </c>
      <c r="H186" s="1" t="s">
        <v>45</v>
      </c>
      <c r="I186" s="2">
        <v>45794</v>
      </c>
      <c r="K186" s="1" t="s">
        <v>133</v>
      </c>
      <c r="L186" s="1" t="s">
        <v>22</v>
      </c>
      <c r="M186" s="14" t="str">
        <f>IF(Tabela1[[#This Row],[Data_Desligamento]]="","ATIVO","INATIVO")</f>
        <v>ATIVO</v>
      </c>
      <c r="N186" s="14" t="str">
        <f>TEXT(Tabela1[[#This Row],[Data_Admissão]],"mmm")</f>
        <v>mai</v>
      </c>
      <c r="O186" s="14" t="str">
        <f>TEXT(Tabela1[[#This Row],[Data_Desligamento]],"mmm")</f>
        <v>jan</v>
      </c>
      <c r="P186" s="17">
        <f>YEAR(Tabela1[[#This Row],[Data_Admissão]])</f>
        <v>2025</v>
      </c>
      <c r="Q186" s="17" t="str">
        <f>IF(Tabela1[[#This Row],[Data_Desligamento]]="", "", YEAR(Tabela1[[#This Row],[Data_Desligamento]]))</f>
        <v/>
      </c>
      <c r="R186" s="17"/>
    </row>
    <row r="187" spans="1:18">
      <c r="A187" s="1">
        <v>186</v>
      </c>
      <c r="B187" s="1" t="s">
        <v>296</v>
      </c>
      <c r="C187" s="2">
        <v>33678</v>
      </c>
      <c r="D187" s="1" t="s">
        <v>19</v>
      </c>
      <c r="E187" s="1">
        <v>1089</v>
      </c>
      <c r="F187" s="1" t="s">
        <v>68</v>
      </c>
      <c r="G187" s="10">
        <v>2651</v>
      </c>
      <c r="H187" s="1" t="s">
        <v>54</v>
      </c>
      <c r="I187" s="2">
        <v>45795</v>
      </c>
      <c r="K187" s="1" t="s">
        <v>135</v>
      </c>
      <c r="L187" s="1" t="s">
        <v>22</v>
      </c>
      <c r="M187" s="14" t="str">
        <f>IF(Tabela1[[#This Row],[Data_Desligamento]]="","ATIVO","INATIVO")</f>
        <v>ATIVO</v>
      </c>
      <c r="N187" s="14" t="str">
        <f>TEXT(Tabela1[[#This Row],[Data_Admissão]],"mmm")</f>
        <v>mai</v>
      </c>
      <c r="O187" s="14" t="str">
        <f>TEXT(Tabela1[[#This Row],[Data_Desligamento]],"mmm")</f>
        <v>jan</v>
      </c>
      <c r="P187" s="17">
        <f>YEAR(Tabela1[[#This Row],[Data_Admissão]])</f>
        <v>2025</v>
      </c>
      <c r="Q187" s="17" t="str">
        <f>IF(Tabela1[[#This Row],[Data_Desligamento]]="", "", YEAR(Tabela1[[#This Row],[Data_Desligamento]]))</f>
        <v/>
      </c>
      <c r="R187" s="17"/>
    </row>
    <row r="188" spans="1:18">
      <c r="A188" s="1">
        <v>187</v>
      </c>
      <c r="B188" s="1" t="s">
        <v>297</v>
      </c>
      <c r="C188" s="2">
        <v>31977</v>
      </c>
      <c r="D188" s="1" t="s">
        <v>19</v>
      </c>
      <c r="E188" s="1">
        <v>1315</v>
      </c>
      <c r="F188" s="1" t="s">
        <v>138</v>
      </c>
      <c r="G188" s="10">
        <v>13399</v>
      </c>
      <c r="H188" s="1" t="s">
        <v>139</v>
      </c>
      <c r="I188" s="2">
        <v>45798</v>
      </c>
      <c r="J188" s="2">
        <v>46019</v>
      </c>
      <c r="K188" s="1" t="s">
        <v>140</v>
      </c>
      <c r="L188" s="1" t="s">
        <v>298</v>
      </c>
      <c r="M188" s="14" t="str">
        <f>IF(Tabela1[[#This Row],[Data_Desligamento]]="","ATIVO","INATIVO")</f>
        <v>INATIVO</v>
      </c>
      <c r="N188" s="14" t="str">
        <f>TEXT(Tabela1[[#This Row],[Data_Admissão]],"mmm")</f>
        <v>mai</v>
      </c>
      <c r="O188" s="14" t="str">
        <f>TEXT(Tabela1[[#This Row],[Data_Desligamento]],"mmm")</f>
        <v>dez</v>
      </c>
      <c r="P188" s="17">
        <f>YEAR(Tabela1[[#This Row],[Data_Admissão]])</f>
        <v>2025</v>
      </c>
      <c r="Q188" s="17">
        <f>IF(Tabela1[[#This Row],[Data_Desligamento]]="", "", YEAR(Tabela1[[#This Row],[Data_Desligamento]]))</f>
        <v>2025</v>
      </c>
      <c r="R188" s="17"/>
    </row>
    <row r="189" spans="1:18">
      <c r="A189" s="1">
        <v>188</v>
      </c>
      <c r="B189" s="1" t="s">
        <v>299</v>
      </c>
      <c r="C189" s="2">
        <v>26500</v>
      </c>
      <c r="D189" s="1" t="s">
        <v>19</v>
      </c>
      <c r="E189" s="1">
        <v>1189</v>
      </c>
      <c r="F189" s="1" t="s">
        <v>89</v>
      </c>
      <c r="G189" s="10">
        <v>2140</v>
      </c>
      <c r="H189" s="1" t="s">
        <v>77</v>
      </c>
      <c r="I189" s="2">
        <v>45800</v>
      </c>
      <c r="K189" s="1" t="s">
        <v>22</v>
      </c>
      <c r="L189" s="1" t="s">
        <v>22</v>
      </c>
      <c r="M189" s="14" t="str">
        <f>IF(Tabela1[[#This Row],[Data_Desligamento]]="","ATIVO","INATIVO")</f>
        <v>ATIVO</v>
      </c>
      <c r="N189" s="14" t="str">
        <f>TEXT(Tabela1[[#This Row],[Data_Admissão]],"mmm")</f>
        <v>mai</v>
      </c>
      <c r="O189" s="14" t="str">
        <f>TEXT(Tabela1[[#This Row],[Data_Desligamento]],"mmm")</f>
        <v>jan</v>
      </c>
      <c r="P189" s="17">
        <f>YEAR(Tabela1[[#This Row],[Data_Admissão]])</f>
        <v>2025</v>
      </c>
      <c r="Q189" s="17" t="str">
        <f>IF(Tabela1[[#This Row],[Data_Desligamento]]="", "", YEAR(Tabela1[[#This Row],[Data_Desligamento]]))</f>
        <v/>
      </c>
      <c r="R189" s="17"/>
    </row>
    <row r="190" spans="1:18">
      <c r="A190" s="1">
        <v>189</v>
      </c>
      <c r="B190" s="1" t="s">
        <v>300</v>
      </c>
      <c r="C190" s="2">
        <v>36568</v>
      </c>
      <c r="D190" s="1" t="s">
        <v>19</v>
      </c>
      <c r="E190" s="1">
        <v>1282</v>
      </c>
      <c r="F190" s="1" t="s">
        <v>138</v>
      </c>
      <c r="G190" s="10">
        <v>10422</v>
      </c>
      <c r="H190" s="1" t="s">
        <v>139</v>
      </c>
      <c r="I190" s="2">
        <v>45800</v>
      </c>
      <c r="K190" s="1" t="s">
        <v>142</v>
      </c>
      <c r="L190" s="1" t="s">
        <v>22</v>
      </c>
      <c r="M190" s="14" t="str">
        <f>IF(Tabela1[[#This Row],[Data_Desligamento]]="","ATIVO","INATIVO")</f>
        <v>ATIVO</v>
      </c>
      <c r="N190" s="14" t="str">
        <f>TEXT(Tabela1[[#This Row],[Data_Admissão]],"mmm")</f>
        <v>mai</v>
      </c>
      <c r="O190" s="14" t="str">
        <f>TEXT(Tabela1[[#This Row],[Data_Desligamento]],"mmm")</f>
        <v>jan</v>
      </c>
      <c r="P190" s="17">
        <f>YEAR(Tabela1[[#This Row],[Data_Admissão]])</f>
        <v>2025</v>
      </c>
      <c r="Q190" s="17" t="str">
        <f>IF(Tabela1[[#This Row],[Data_Desligamento]]="", "", YEAR(Tabela1[[#This Row],[Data_Desligamento]]))</f>
        <v/>
      </c>
      <c r="R190" s="17"/>
    </row>
    <row r="191" spans="1:18">
      <c r="A191" s="1">
        <v>190</v>
      </c>
      <c r="B191" s="1" t="s">
        <v>301</v>
      </c>
      <c r="C191" s="2">
        <v>37166</v>
      </c>
      <c r="D191" s="1" t="s">
        <v>19</v>
      </c>
      <c r="E191" s="1">
        <v>1078</v>
      </c>
      <c r="F191" s="1" t="s">
        <v>33</v>
      </c>
      <c r="G191" s="10">
        <v>3328</v>
      </c>
      <c r="H191" s="1" t="s">
        <v>34</v>
      </c>
      <c r="I191" s="2">
        <v>45807</v>
      </c>
      <c r="K191" s="1" t="s">
        <v>146</v>
      </c>
      <c r="L191" s="1" t="s">
        <v>22</v>
      </c>
      <c r="M191" s="14" t="str">
        <f>IF(Tabela1[[#This Row],[Data_Desligamento]]="","ATIVO","INATIVO")</f>
        <v>ATIVO</v>
      </c>
      <c r="N191" s="14" t="str">
        <f>TEXT(Tabela1[[#This Row],[Data_Admissão]],"mmm")</f>
        <v>mai</v>
      </c>
      <c r="O191" s="14" t="str">
        <f>TEXT(Tabela1[[#This Row],[Data_Desligamento]],"mmm")</f>
        <v>jan</v>
      </c>
      <c r="P191" s="17">
        <f>YEAR(Tabela1[[#This Row],[Data_Admissão]])</f>
        <v>2025</v>
      </c>
      <c r="Q191" s="17" t="str">
        <f>IF(Tabela1[[#This Row],[Data_Desligamento]]="", "", YEAR(Tabela1[[#This Row],[Data_Desligamento]]))</f>
        <v/>
      </c>
      <c r="R191" s="17"/>
    </row>
    <row r="192" spans="1:18">
      <c r="A192" s="1">
        <v>191</v>
      </c>
      <c r="B192" s="1" t="s">
        <v>302</v>
      </c>
      <c r="C192" s="2">
        <v>27322</v>
      </c>
      <c r="D192" s="1" t="s">
        <v>19</v>
      </c>
      <c r="E192" s="1">
        <v>1079</v>
      </c>
      <c r="F192" s="1" t="s">
        <v>30</v>
      </c>
      <c r="G192" s="10">
        <v>9616</v>
      </c>
      <c r="H192" s="1" t="s">
        <v>31</v>
      </c>
      <c r="I192" s="2">
        <v>45807</v>
      </c>
      <c r="K192" s="1" t="s">
        <v>22</v>
      </c>
      <c r="L192" s="1" t="s">
        <v>22</v>
      </c>
      <c r="M192" s="14" t="str">
        <f>IF(Tabela1[[#This Row],[Data_Desligamento]]="","ATIVO","INATIVO")</f>
        <v>ATIVO</v>
      </c>
      <c r="N192" s="14" t="str">
        <f>TEXT(Tabela1[[#This Row],[Data_Admissão]],"mmm")</f>
        <v>mai</v>
      </c>
      <c r="O192" s="14" t="str">
        <f>TEXT(Tabela1[[#This Row],[Data_Desligamento]],"mmm")</f>
        <v>jan</v>
      </c>
      <c r="P192" s="17">
        <f>YEAR(Tabela1[[#This Row],[Data_Admissão]])</f>
        <v>2025</v>
      </c>
      <c r="Q192" s="17" t="str">
        <f>IF(Tabela1[[#This Row],[Data_Desligamento]]="", "", YEAR(Tabela1[[#This Row],[Data_Desligamento]]))</f>
        <v/>
      </c>
      <c r="R192" s="17"/>
    </row>
    <row r="193" spans="1:18">
      <c r="A193" s="1">
        <v>192</v>
      </c>
      <c r="B193" s="1" t="s">
        <v>303</v>
      </c>
      <c r="C193" s="2">
        <v>28957</v>
      </c>
      <c r="D193" s="1" t="s">
        <v>19</v>
      </c>
      <c r="E193" s="1">
        <v>1300</v>
      </c>
      <c r="F193" s="1" t="s">
        <v>76</v>
      </c>
      <c r="G193" s="10">
        <v>4360</v>
      </c>
      <c r="H193" s="1" t="s">
        <v>77</v>
      </c>
      <c r="I193" s="2">
        <v>45812</v>
      </c>
      <c r="K193" s="1" t="s">
        <v>22</v>
      </c>
      <c r="L193" s="1" t="s">
        <v>22</v>
      </c>
      <c r="M193" s="14" t="str">
        <f>IF(Tabela1[[#This Row],[Data_Desligamento]]="","ATIVO","INATIVO")</f>
        <v>ATIVO</v>
      </c>
      <c r="N193" s="14" t="str">
        <f>TEXT(Tabela1[[#This Row],[Data_Admissão]],"mmm")</f>
        <v>jun</v>
      </c>
      <c r="O193" s="14" t="str">
        <f>TEXT(Tabela1[[#This Row],[Data_Desligamento]],"mmm")</f>
        <v>jan</v>
      </c>
      <c r="P193" s="17">
        <f>YEAR(Tabela1[[#This Row],[Data_Admissão]])</f>
        <v>2025</v>
      </c>
      <c r="Q193" s="17" t="str">
        <f>IF(Tabela1[[#This Row],[Data_Desligamento]]="", "", YEAR(Tabela1[[#This Row],[Data_Desligamento]]))</f>
        <v/>
      </c>
      <c r="R193" s="17"/>
    </row>
    <row r="194" spans="1:18">
      <c r="A194" s="1">
        <v>193</v>
      </c>
      <c r="B194" s="1" t="s">
        <v>304</v>
      </c>
      <c r="C194" s="2">
        <v>27835</v>
      </c>
      <c r="D194" s="1" t="s">
        <v>19</v>
      </c>
      <c r="E194" s="1">
        <v>1210</v>
      </c>
      <c r="F194" s="1" t="s">
        <v>48</v>
      </c>
      <c r="G194" s="10">
        <v>2992</v>
      </c>
      <c r="H194" s="1" t="s">
        <v>26</v>
      </c>
      <c r="I194" s="2">
        <v>45814</v>
      </c>
      <c r="K194" s="1" t="s">
        <v>148</v>
      </c>
      <c r="L194" s="1" t="s">
        <v>22</v>
      </c>
      <c r="M194" s="14" t="str">
        <f>IF(Tabela1[[#This Row],[Data_Desligamento]]="","ATIVO","INATIVO")</f>
        <v>ATIVO</v>
      </c>
      <c r="N194" s="14" t="str">
        <f>TEXT(Tabela1[[#This Row],[Data_Admissão]],"mmm")</f>
        <v>jun</v>
      </c>
      <c r="O194" s="14" t="str">
        <f>TEXT(Tabela1[[#This Row],[Data_Desligamento]],"mmm")</f>
        <v>jan</v>
      </c>
      <c r="P194" s="17">
        <f>YEAR(Tabela1[[#This Row],[Data_Admissão]])</f>
        <v>2025</v>
      </c>
      <c r="Q194" s="17" t="str">
        <f>IF(Tabela1[[#This Row],[Data_Desligamento]]="", "", YEAR(Tabela1[[#This Row],[Data_Desligamento]]))</f>
        <v/>
      </c>
      <c r="R194" s="17"/>
    </row>
    <row r="195" spans="1:18">
      <c r="A195" s="1">
        <v>194</v>
      </c>
      <c r="B195" s="1" t="s">
        <v>213</v>
      </c>
      <c r="C195" s="2">
        <v>37084</v>
      </c>
      <c r="D195" s="1" t="s">
        <v>19</v>
      </c>
      <c r="E195" s="1">
        <v>1200</v>
      </c>
      <c r="F195" s="1" t="s">
        <v>89</v>
      </c>
      <c r="G195" s="10">
        <v>3731</v>
      </c>
      <c r="H195" s="1" t="s">
        <v>77</v>
      </c>
      <c r="I195" s="2">
        <v>45820</v>
      </c>
      <c r="K195" s="1" t="s">
        <v>22</v>
      </c>
      <c r="L195" s="1" t="s">
        <v>22</v>
      </c>
      <c r="M195" s="14" t="str">
        <f>IF(Tabela1[[#This Row],[Data_Desligamento]]="","ATIVO","INATIVO")</f>
        <v>ATIVO</v>
      </c>
      <c r="N195" s="14" t="str">
        <f>TEXT(Tabela1[[#This Row],[Data_Admissão]],"mmm")</f>
        <v>jun</v>
      </c>
      <c r="O195" s="14" t="str">
        <f>TEXT(Tabela1[[#This Row],[Data_Desligamento]],"mmm")</f>
        <v>jan</v>
      </c>
      <c r="P195" s="17">
        <f>YEAR(Tabela1[[#This Row],[Data_Admissão]])</f>
        <v>2025</v>
      </c>
      <c r="Q195" s="17" t="str">
        <f>IF(Tabela1[[#This Row],[Data_Desligamento]]="", "", YEAR(Tabela1[[#This Row],[Data_Desligamento]]))</f>
        <v/>
      </c>
      <c r="R195" s="17"/>
    </row>
    <row r="196" spans="1:18">
      <c r="A196" s="1">
        <v>195</v>
      </c>
      <c r="B196" s="1" t="s">
        <v>305</v>
      </c>
      <c r="C196" s="2">
        <v>36414</v>
      </c>
      <c r="D196" s="1" t="s">
        <v>19</v>
      </c>
      <c r="E196" s="1">
        <v>1126</v>
      </c>
      <c r="F196" s="1" t="s">
        <v>48</v>
      </c>
      <c r="G196" s="10">
        <v>4610</v>
      </c>
      <c r="H196" s="1" t="s">
        <v>26</v>
      </c>
      <c r="I196" s="2">
        <v>45821</v>
      </c>
      <c r="K196" s="1" t="s">
        <v>151</v>
      </c>
      <c r="L196" s="1" t="s">
        <v>22</v>
      </c>
      <c r="M196" s="14" t="str">
        <f>IF(Tabela1[[#This Row],[Data_Desligamento]]="","ATIVO","INATIVO")</f>
        <v>ATIVO</v>
      </c>
      <c r="N196" s="14" t="str">
        <f>TEXT(Tabela1[[#This Row],[Data_Admissão]],"mmm")</f>
        <v>jun</v>
      </c>
      <c r="O196" s="14" t="str">
        <f>TEXT(Tabela1[[#This Row],[Data_Desligamento]],"mmm")</f>
        <v>jan</v>
      </c>
      <c r="P196" s="17">
        <f>YEAR(Tabela1[[#This Row],[Data_Admissão]])</f>
        <v>2025</v>
      </c>
      <c r="Q196" s="17" t="str">
        <f>IF(Tabela1[[#This Row],[Data_Desligamento]]="", "", YEAR(Tabela1[[#This Row],[Data_Desligamento]]))</f>
        <v/>
      </c>
      <c r="R196" s="17"/>
    </row>
    <row r="197" spans="1:18">
      <c r="A197" s="1">
        <v>196</v>
      </c>
      <c r="B197" s="1" t="s">
        <v>306</v>
      </c>
      <c r="C197" s="2">
        <v>34311</v>
      </c>
      <c r="D197" s="1" t="s">
        <v>19</v>
      </c>
      <c r="E197" s="1">
        <v>1267</v>
      </c>
      <c r="F197" s="1" t="s">
        <v>63</v>
      </c>
      <c r="G197" s="10">
        <v>13646</v>
      </c>
      <c r="H197" s="1" t="s">
        <v>21</v>
      </c>
      <c r="I197" s="2">
        <v>45824</v>
      </c>
      <c r="K197" s="1" t="s">
        <v>22</v>
      </c>
      <c r="L197" s="1" t="s">
        <v>22</v>
      </c>
      <c r="M197" s="14" t="str">
        <f>IF(Tabela1[[#This Row],[Data_Desligamento]]="","ATIVO","INATIVO")</f>
        <v>ATIVO</v>
      </c>
      <c r="N197" s="14" t="str">
        <f>TEXT(Tabela1[[#This Row],[Data_Admissão]],"mmm")</f>
        <v>jun</v>
      </c>
      <c r="O197" s="14" t="str">
        <f>TEXT(Tabela1[[#This Row],[Data_Desligamento]],"mmm")</f>
        <v>jan</v>
      </c>
      <c r="P197" s="17">
        <f>YEAR(Tabela1[[#This Row],[Data_Admissão]])</f>
        <v>2025</v>
      </c>
      <c r="Q197" s="17" t="str">
        <f>IF(Tabela1[[#This Row],[Data_Desligamento]]="", "", YEAR(Tabela1[[#This Row],[Data_Desligamento]]))</f>
        <v/>
      </c>
      <c r="R197" s="17"/>
    </row>
    <row r="198" spans="1:18">
      <c r="A198" s="1">
        <v>197</v>
      </c>
      <c r="B198" s="1" t="s">
        <v>307</v>
      </c>
      <c r="C198" s="2">
        <v>27544</v>
      </c>
      <c r="D198" s="1" t="s">
        <v>19</v>
      </c>
      <c r="E198" s="1">
        <v>1155</v>
      </c>
      <c r="F198" s="1" t="s">
        <v>38</v>
      </c>
      <c r="G198" s="10">
        <v>16826</v>
      </c>
      <c r="H198" s="1" t="s">
        <v>39</v>
      </c>
      <c r="I198" s="2">
        <v>45830</v>
      </c>
      <c r="J198" s="2">
        <v>45954</v>
      </c>
      <c r="K198" s="1" t="s">
        <v>22</v>
      </c>
      <c r="L198" s="1" t="s">
        <v>308</v>
      </c>
      <c r="M198" s="14" t="str">
        <f>IF(Tabela1[[#This Row],[Data_Desligamento]]="","ATIVO","INATIVO")</f>
        <v>INATIVO</v>
      </c>
      <c r="N198" s="14" t="str">
        <f>TEXT(Tabela1[[#This Row],[Data_Admissão]],"mmm")</f>
        <v>jun</v>
      </c>
      <c r="O198" s="14" t="str">
        <f>TEXT(Tabela1[[#This Row],[Data_Desligamento]],"mmm")</f>
        <v>out</v>
      </c>
      <c r="P198" s="17">
        <f>YEAR(Tabela1[[#This Row],[Data_Admissão]])</f>
        <v>2025</v>
      </c>
      <c r="Q198" s="17">
        <f>IF(Tabela1[[#This Row],[Data_Desligamento]]="", "", YEAR(Tabela1[[#This Row],[Data_Desligamento]]))</f>
        <v>2025</v>
      </c>
      <c r="R198" s="17"/>
    </row>
    <row r="199" spans="1:18">
      <c r="A199" s="1">
        <v>198</v>
      </c>
      <c r="B199" s="1" t="s">
        <v>309</v>
      </c>
      <c r="C199" s="2">
        <v>26567</v>
      </c>
      <c r="D199" s="1" t="s">
        <v>19</v>
      </c>
      <c r="E199" s="1">
        <v>1048</v>
      </c>
      <c r="F199" s="1" t="s">
        <v>20</v>
      </c>
      <c r="G199" s="10">
        <v>3482</v>
      </c>
      <c r="H199" s="1" t="s">
        <v>21</v>
      </c>
      <c r="I199" s="2">
        <v>45835</v>
      </c>
      <c r="K199" s="1" t="s">
        <v>155</v>
      </c>
      <c r="L199" s="1" t="s">
        <v>22</v>
      </c>
      <c r="M199" s="14" t="str">
        <f>IF(Tabela1[[#This Row],[Data_Desligamento]]="","ATIVO","INATIVO")</f>
        <v>ATIVO</v>
      </c>
      <c r="N199" s="14" t="str">
        <f>TEXT(Tabela1[[#This Row],[Data_Admissão]],"mmm")</f>
        <v>jun</v>
      </c>
      <c r="O199" s="14" t="str">
        <f>TEXT(Tabela1[[#This Row],[Data_Desligamento]],"mmm")</f>
        <v>jan</v>
      </c>
      <c r="P199" s="17">
        <f>YEAR(Tabela1[[#This Row],[Data_Admissão]])</f>
        <v>2025</v>
      </c>
      <c r="Q199" s="17" t="str">
        <f>IF(Tabela1[[#This Row],[Data_Desligamento]]="", "", YEAR(Tabela1[[#This Row],[Data_Desligamento]]))</f>
        <v/>
      </c>
      <c r="R199" s="17"/>
    </row>
    <row r="200" spans="1:18">
      <c r="A200" s="1">
        <v>199</v>
      </c>
      <c r="B200" s="1" t="s">
        <v>310</v>
      </c>
      <c r="C200" s="2">
        <v>37726</v>
      </c>
      <c r="D200" s="1" t="s">
        <v>19</v>
      </c>
      <c r="E200" s="1">
        <v>1120</v>
      </c>
      <c r="F200" s="1" t="s">
        <v>76</v>
      </c>
      <c r="G200" s="10">
        <v>7966</v>
      </c>
      <c r="H200" s="1" t="s">
        <v>77</v>
      </c>
      <c r="I200" s="2">
        <v>45848</v>
      </c>
      <c r="K200" s="1" t="s">
        <v>22</v>
      </c>
      <c r="L200" s="1" t="s">
        <v>22</v>
      </c>
      <c r="M200" s="14" t="str">
        <f>IF(Tabela1[[#This Row],[Data_Desligamento]]="","ATIVO","INATIVO")</f>
        <v>ATIVO</v>
      </c>
      <c r="N200" s="14" t="str">
        <f>TEXT(Tabela1[[#This Row],[Data_Admissão]],"mmm")</f>
        <v>jul</v>
      </c>
      <c r="O200" s="14" t="str">
        <f>TEXT(Tabela1[[#This Row],[Data_Desligamento]],"mmm")</f>
        <v>jan</v>
      </c>
      <c r="P200" s="17">
        <f>YEAR(Tabela1[[#This Row],[Data_Admissão]])</f>
        <v>2025</v>
      </c>
      <c r="Q200" s="17" t="str">
        <f>IF(Tabela1[[#This Row],[Data_Desligamento]]="", "", YEAR(Tabela1[[#This Row],[Data_Desligamento]]))</f>
        <v/>
      </c>
      <c r="R200" s="17"/>
    </row>
    <row r="201" spans="1:18">
      <c r="A201" s="1">
        <v>200</v>
      </c>
      <c r="B201" s="1" t="s">
        <v>311</v>
      </c>
      <c r="C201" s="2">
        <v>36698</v>
      </c>
      <c r="D201" s="1" t="s">
        <v>19</v>
      </c>
      <c r="E201" s="1">
        <v>1101</v>
      </c>
      <c r="F201" s="1" t="s">
        <v>30</v>
      </c>
      <c r="G201" s="10">
        <v>5971</v>
      </c>
      <c r="H201" s="1" t="s">
        <v>31</v>
      </c>
      <c r="I201" s="2">
        <v>45854</v>
      </c>
      <c r="K201" s="1" t="s">
        <v>22</v>
      </c>
      <c r="L201" s="1" t="s">
        <v>22</v>
      </c>
      <c r="M201" s="14" t="str">
        <f>IF(Tabela1[[#This Row],[Data_Desligamento]]="","ATIVO","INATIVO")</f>
        <v>ATIVO</v>
      </c>
      <c r="N201" s="14" t="str">
        <f>TEXT(Tabela1[[#This Row],[Data_Admissão]],"mmm")</f>
        <v>jul</v>
      </c>
      <c r="O201" s="14" t="str">
        <f>TEXT(Tabela1[[#This Row],[Data_Desligamento]],"mmm")</f>
        <v>jan</v>
      </c>
      <c r="P201" s="17">
        <f>YEAR(Tabela1[[#This Row],[Data_Admissão]])</f>
        <v>2025</v>
      </c>
      <c r="Q201" s="17" t="str">
        <f>IF(Tabela1[[#This Row],[Data_Desligamento]]="", "", YEAR(Tabela1[[#This Row],[Data_Desligamento]]))</f>
        <v/>
      </c>
      <c r="R201" s="17"/>
    </row>
    <row r="202" spans="1:18">
      <c r="A202" s="1">
        <v>201</v>
      </c>
      <c r="B202" s="1" t="s">
        <v>312</v>
      </c>
      <c r="C202" s="2">
        <v>37531</v>
      </c>
      <c r="D202" s="1" t="s">
        <v>19</v>
      </c>
      <c r="E202" s="1">
        <v>1024</v>
      </c>
      <c r="F202" s="1" t="s">
        <v>63</v>
      </c>
      <c r="G202" s="10">
        <v>9310</v>
      </c>
      <c r="H202" s="1" t="s">
        <v>21</v>
      </c>
      <c r="I202" s="2">
        <v>45857</v>
      </c>
      <c r="K202" s="1" t="s">
        <v>157</v>
      </c>
      <c r="L202" s="1" t="s">
        <v>22</v>
      </c>
      <c r="M202" s="14" t="str">
        <f>IF(Tabela1[[#This Row],[Data_Desligamento]]="","ATIVO","INATIVO")</f>
        <v>ATIVO</v>
      </c>
      <c r="N202" s="14" t="str">
        <f>TEXT(Tabela1[[#This Row],[Data_Admissão]],"mmm")</f>
        <v>jul</v>
      </c>
      <c r="O202" s="14" t="str">
        <f>TEXT(Tabela1[[#This Row],[Data_Desligamento]],"mmm")</f>
        <v>jan</v>
      </c>
      <c r="P202" s="17">
        <f>YEAR(Tabela1[[#This Row],[Data_Admissão]])</f>
        <v>2025</v>
      </c>
      <c r="Q202" s="17" t="str">
        <f>IF(Tabela1[[#This Row],[Data_Desligamento]]="", "", YEAR(Tabela1[[#This Row],[Data_Desligamento]]))</f>
        <v/>
      </c>
      <c r="R202" s="17"/>
    </row>
    <row r="203" spans="1:18">
      <c r="A203" s="1">
        <v>202</v>
      </c>
      <c r="B203" s="1" t="s">
        <v>199</v>
      </c>
      <c r="C203" s="2">
        <v>37057</v>
      </c>
      <c r="D203" s="1" t="s">
        <v>19</v>
      </c>
      <c r="E203" s="1">
        <v>1061</v>
      </c>
      <c r="F203" s="1" t="s">
        <v>57</v>
      </c>
      <c r="G203" s="10">
        <v>5616</v>
      </c>
      <c r="H203" s="1" t="s">
        <v>34</v>
      </c>
      <c r="I203" s="2">
        <v>45858</v>
      </c>
      <c r="K203" s="1" t="s">
        <v>161</v>
      </c>
      <c r="L203" s="1" t="s">
        <v>22</v>
      </c>
      <c r="M203" s="14" t="str">
        <f>IF(Tabela1[[#This Row],[Data_Desligamento]]="","ATIVO","INATIVO")</f>
        <v>ATIVO</v>
      </c>
      <c r="N203" s="14" t="str">
        <f>TEXT(Tabela1[[#This Row],[Data_Admissão]],"mmm")</f>
        <v>jul</v>
      </c>
      <c r="O203" s="14" t="str">
        <f>TEXT(Tabela1[[#This Row],[Data_Desligamento]],"mmm")</f>
        <v>jan</v>
      </c>
      <c r="P203" s="17">
        <f>YEAR(Tabela1[[#This Row],[Data_Admissão]])</f>
        <v>2025</v>
      </c>
      <c r="Q203" s="17" t="str">
        <f>IF(Tabela1[[#This Row],[Data_Desligamento]]="", "", YEAR(Tabela1[[#This Row],[Data_Desligamento]]))</f>
        <v/>
      </c>
      <c r="R203" s="17"/>
    </row>
    <row r="204" spans="1:18">
      <c r="A204" s="1">
        <v>203</v>
      </c>
      <c r="B204" s="1" t="s">
        <v>313</v>
      </c>
      <c r="C204" s="2">
        <v>32149</v>
      </c>
      <c r="D204" s="1" t="s">
        <v>19</v>
      </c>
      <c r="E204" s="1">
        <v>1186</v>
      </c>
      <c r="F204" s="1" t="s">
        <v>68</v>
      </c>
      <c r="G204" s="10">
        <v>2804</v>
      </c>
      <c r="H204" s="1" t="s">
        <v>54</v>
      </c>
      <c r="I204" s="2">
        <v>45863</v>
      </c>
      <c r="K204" s="1" t="s">
        <v>163</v>
      </c>
      <c r="L204" s="1" t="s">
        <v>22</v>
      </c>
      <c r="M204" s="14" t="str">
        <f>IF(Tabela1[[#This Row],[Data_Desligamento]]="","ATIVO","INATIVO")</f>
        <v>ATIVO</v>
      </c>
      <c r="N204" s="14" t="str">
        <f>TEXT(Tabela1[[#This Row],[Data_Admissão]],"mmm")</f>
        <v>jul</v>
      </c>
      <c r="O204" s="14" t="str">
        <f>TEXT(Tabela1[[#This Row],[Data_Desligamento]],"mmm")</f>
        <v>jan</v>
      </c>
      <c r="P204" s="17">
        <f>YEAR(Tabela1[[#This Row],[Data_Admissão]])</f>
        <v>2025</v>
      </c>
      <c r="Q204" s="17" t="str">
        <f>IF(Tabela1[[#This Row],[Data_Desligamento]]="", "", YEAR(Tabela1[[#This Row],[Data_Desligamento]]))</f>
        <v/>
      </c>
      <c r="R204" s="17"/>
    </row>
    <row r="205" spans="1:18">
      <c r="A205" s="1">
        <v>204</v>
      </c>
      <c r="B205" s="1" t="s">
        <v>314</v>
      </c>
      <c r="C205" s="2">
        <v>34817</v>
      </c>
      <c r="D205" s="1" t="s">
        <v>19</v>
      </c>
      <c r="E205" s="1">
        <v>1104</v>
      </c>
      <c r="F205" s="1" t="s">
        <v>25</v>
      </c>
      <c r="G205" s="10">
        <v>3218</v>
      </c>
      <c r="H205" s="1" t="s">
        <v>26</v>
      </c>
      <c r="I205" s="2">
        <v>45865</v>
      </c>
      <c r="K205" s="1" t="s">
        <v>165</v>
      </c>
      <c r="L205" s="1" t="s">
        <v>22</v>
      </c>
      <c r="M205" s="14" t="str">
        <f>IF(Tabela1[[#This Row],[Data_Desligamento]]="","ATIVO","INATIVO")</f>
        <v>ATIVO</v>
      </c>
      <c r="N205" s="14" t="str">
        <f>TEXT(Tabela1[[#This Row],[Data_Admissão]],"mmm")</f>
        <v>jul</v>
      </c>
      <c r="O205" s="14" t="str">
        <f>TEXT(Tabela1[[#This Row],[Data_Desligamento]],"mmm")</f>
        <v>jan</v>
      </c>
      <c r="P205" s="17">
        <f>YEAR(Tabela1[[#This Row],[Data_Admissão]])</f>
        <v>2025</v>
      </c>
      <c r="Q205" s="17" t="str">
        <f>IF(Tabela1[[#This Row],[Data_Desligamento]]="", "", YEAR(Tabela1[[#This Row],[Data_Desligamento]]))</f>
        <v/>
      </c>
      <c r="R205" s="17"/>
    </row>
    <row r="206" spans="1:18">
      <c r="A206" s="1">
        <v>205</v>
      </c>
      <c r="B206" s="1" t="s">
        <v>315</v>
      </c>
      <c r="C206" s="2">
        <v>30689</v>
      </c>
      <c r="D206" s="1" t="s">
        <v>19</v>
      </c>
      <c r="E206" s="1">
        <v>1087</v>
      </c>
      <c r="F206" s="1" t="s">
        <v>63</v>
      </c>
      <c r="G206" s="10">
        <v>9566</v>
      </c>
      <c r="H206" s="1" t="s">
        <v>21</v>
      </c>
      <c r="I206" s="2">
        <v>45867</v>
      </c>
      <c r="K206" s="1" t="s">
        <v>22</v>
      </c>
      <c r="L206" s="1" t="s">
        <v>22</v>
      </c>
      <c r="M206" s="14" t="str">
        <f>IF(Tabela1[[#This Row],[Data_Desligamento]]="","ATIVO","INATIVO")</f>
        <v>ATIVO</v>
      </c>
      <c r="N206" s="14" t="str">
        <f>TEXT(Tabela1[[#This Row],[Data_Admissão]],"mmm")</f>
        <v>jul</v>
      </c>
      <c r="O206" s="14" t="str">
        <f>TEXT(Tabela1[[#This Row],[Data_Desligamento]],"mmm")</f>
        <v>jan</v>
      </c>
      <c r="P206" s="17">
        <f>YEAR(Tabela1[[#This Row],[Data_Admissão]])</f>
        <v>2025</v>
      </c>
      <c r="Q206" s="17" t="str">
        <f>IF(Tabela1[[#This Row],[Data_Desligamento]]="", "", YEAR(Tabela1[[#This Row],[Data_Desligamento]]))</f>
        <v/>
      </c>
      <c r="R206" s="17"/>
    </row>
    <row r="207" spans="1:18">
      <c r="A207" s="1">
        <v>206</v>
      </c>
      <c r="B207" s="1" t="s">
        <v>316</v>
      </c>
      <c r="C207" s="2">
        <v>32599</v>
      </c>
      <c r="D207" s="1" t="s">
        <v>19</v>
      </c>
      <c r="E207" s="1">
        <v>1125</v>
      </c>
      <c r="F207" s="1" t="s">
        <v>138</v>
      </c>
      <c r="G207" s="10">
        <v>14321</v>
      </c>
      <c r="H207" s="1" t="s">
        <v>139</v>
      </c>
      <c r="I207" s="2">
        <v>45870</v>
      </c>
      <c r="J207" s="2">
        <v>46074</v>
      </c>
      <c r="K207" s="1" t="s">
        <v>36</v>
      </c>
      <c r="L207" s="1" t="s">
        <v>28</v>
      </c>
      <c r="M207" s="14" t="str">
        <f>IF(Tabela1[[#This Row],[Data_Desligamento]]="","ATIVO","INATIVO")</f>
        <v>INATIVO</v>
      </c>
      <c r="N207" s="14" t="str">
        <f>TEXT(Tabela1[[#This Row],[Data_Admissão]],"mmm")</f>
        <v>ago</v>
      </c>
      <c r="O207" s="14" t="str">
        <f>TEXT(Tabela1[[#This Row],[Data_Desligamento]],"mmm")</f>
        <v>fev</v>
      </c>
      <c r="P207" s="17">
        <f>YEAR(Tabela1[[#This Row],[Data_Admissão]])</f>
        <v>2025</v>
      </c>
      <c r="Q207" s="17">
        <f>IF(Tabela1[[#This Row],[Data_Desligamento]]="", "", YEAR(Tabela1[[#This Row],[Data_Desligamento]]))</f>
        <v>2026</v>
      </c>
      <c r="R207" s="17"/>
    </row>
    <row r="208" spans="1:18">
      <c r="A208" s="1">
        <v>207</v>
      </c>
      <c r="B208" s="1" t="s">
        <v>317</v>
      </c>
      <c r="C208" s="2">
        <v>33474</v>
      </c>
      <c r="D208" s="1" t="s">
        <v>19</v>
      </c>
      <c r="E208" s="1">
        <v>1065</v>
      </c>
      <c r="F208" s="1" t="s">
        <v>33</v>
      </c>
      <c r="G208" s="10">
        <v>5457</v>
      </c>
      <c r="H208" s="1" t="s">
        <v>34</v>
      </c>
      <c r="I208" s="2">
        <v>45873</v>
      </c>
      <c r="J208" s="2">
        <v>46202</v>
      </c>
      <c r="K208" s="1" t="s">
        <v>46</v>
      </c>
      <c r="L208" s="1" t="s">
        <v>41</v>
      </c>
      <c r="M208" s="14" t="str">
        <f>IF(Tabela1[[#This Row],[Data_Desligamento]]="","ATIVO","INATIVO")</f>
        <v>INATIVO</v>
      </c>
      <c r="N208" s="14" t="str">
        <f>TEXT(Tabela1[[#This Row],[Data_Admissão]],"mmm")</f>
        <v>ago</v>
      </c>
      <c r="O208" s="14" t="str">
        <f>TEXT(Tabela1[[#This Row],[Data_Desligamento]],"mmm")</f>
        <v>jun</v>
      </c>
      <c r="P208" s="17">
        <f>YEAR(Tabela1[[#This Row],[Data_Admissão]])</f>
        <v>2025</v>
      </c>
      <c r="Q208" s="17">
        <f>IF(Tabela1[[#This Row],[Data_Desligamento]]="", "", YEAR(Tabela1[[#This Row],[Data_Desligamento]]))</f>
        <v>2026</v>
      </c>
      <c r="R208" s="17"/>
    </row>
    <row r="209" spans="1:18">
      <c r="A209" s="1">
        <v>208</v>
      </c>
      <c r="B209" s="1" t="s">
        <v>318</v>
      </c>
      <c r="C209" s="2">
        <v>25580</v>
      </c>
      <c r="D209" s="1" t="s">
        <v>19</v>
      </c>
      <c r="E209" s="1">
        <v>1115</v>
      </c>
      <c r="F209" s="1" t="s">
        <v>33</v>
      </c>
      <c r="G209" s="10">
        <v>5862</v>
      </c>
      <c r="H209" s="1" t="s">
        <v>34</v>
      </c>
      <c r="I209" s="2">
        <v>45875</v>
      </c>
      <c r="K209" s="1" t="s">
        <v>22</v>
      </c>
      <c r="L209" s="1" t="s">
        <v>22</v>
      </c>
      <c r="M209" s="14" t="str">
        <f>IF(Tabela1[[#This Row],[Data_Desligamento]]="","ATIVO","INATIVO")</f>
        <v>ATIVO</v>
      </c>
      <c r="N209" s="14" t="str">
        <f>TEXT(Tabela1[[#This Row],[Data_Admissão]],"mmm")</f>
        <v>ago</v>
      </c>
      <c r="O209" s="14" t="str">
        <f>TEXT(Tabela1[[#This Row],[Data_Desligamento]],"mmm")</f>
        <v>jan</v>
      </c>
      <c r="P209" s="17">
        <f>YEAR(Tabela1[[#This Row],[Data_Admissão]])</f>
        <v>2025</v>
      </c>
      <c r="Q209" s="17" t="str">
        <f>IF(Tabela1[[#This Row],[Data_Desligamento]]="", "", YEAR(Tabela1[[#This Row],[Data_Desligamento]]))</f>
        <v/>
      </c>
      <c r="R209" s="17"/>
    </row>
    <row r="210" spans="1:18">
      <c r="A210" s="1">
        <v>209</v>
      </c>
      <c r="B210" s="1" t="s">
        <v>319</v>
      </c>
      <c r="C210" s="2">
        <v>30269</v>
      </c>
      <c r="D210" s="1" t="s">
        <v>19</v>
      </c>
      <c r="E210" s="1">
        <v>1226</v>
      </c>
      <c r="F210" s="1" t="s">
        <v>38</v>
      </c>
      <c r="G210" s="10">
        <v>16685</v>
      </c>
      <c r="H210" s="1" t="s">
        <v>39</v>
      </c>
      <c r="I210" s="2">
        <v>45875</v>
      </c>
      <c r="K210" s="1" t="s">
        <v>49</v>
      </c>
      <c r="L210" s="1" t="s">
        <v>22</v>
      </c>
      <c r="M210" s="14" t="str">
        <f>IF(Tabela1[[#This Row],[Data_Desligamento]]="","ATIVO","INATIVO")</f>
        <v>ATIVO</v>
      </c>
      <c r="N210" s="14" t="str">
        <f>TEXT(Tabela1[[#This Row],[Data_Admissão]],"mmm")</f>
        <v>ago</v>
      </c>
      <c r="O210" s="14" t="str">
        <f>TEXT(Tabela1[[#This Row],[Data_Desligamento]],"mmm")</f>
        <v>jan</v>
      </c>
      <c r="P210" s="17">
        <f>YEAR(Tabela1[[#This Row],[Data_Admissão]])</f>
        <v>2025</v>
      </c>
      <c r="Q210" s="17" t="str">
        <f>IF(Tabela1[[#This Row],[Data_Desligamento]]="", "", YEAR(Tabela1[[#This Row],[Data_Desligamento]]))</f>
        <v/>
      </c>
      <c r="R210" s="17"/>
    </row>
    <row r="211" spans="1:18">
      <c r="A211" s="1">
        <v>210</v>
      </c>
      <c r="B211" s="1" t="s">
        <v>320</v>
      </c>
      <c r="C211" s="2">
        <v>26513</v>
      </c>
      <c r="D211" s="1" t="s">
        <v>19</v>
      </c>
      <c r="E211" s="1">
        <v>1348</v>
      </c>
      <c r="F211" s="1" t="s">
        <v>76</v>
      </c>
      <c r="G211" s="10">
        <v>8765</v>
      </c>
      <c r="H211" s="1" t="s">
        <v>77</v>
      </c>
      <c r="I211" s="2">
        <v>45882</v>
      </c>
      <c r="K211" s="1" t="s">
        <v>55</v>
      </c>
      <c r="L211" s="1" t="s">
        <v>22</v>
      </c>
      <c r="M211" s="14" t="str">
        <f>IF(Tabela1[[#This Row],[Data_Desligamento]]="","ATIVO","INATIVO")</f>
        <v>ATIVO</v>
      </c>
      <c r="N211" s="14" t="str">
        <f>TEXT(Tabela1[[#This Row],[Data_Admissão]],"mmm")</f>
        <v>ago</v>
      </c>
      <c r="O211" s="14" t="str">
        <f>TEXT(Tabela1[[#This Row],[Data_Desligamento]],"mmm")</f>
        <v>jan</v>
      </c>
      <c r="P211" s="17">
        <f>YEAR(Tabela1[[#This Row],[Data_Admissão]])</f>
        <v>2025</v>
      </c>
      <c r="Q211" s="17" t="str">
        <f>IF(Tabela1[[#This Row],[Data_Desligamento]]="", "", YEAR(Tabela1[[#This Row],[Data_Desligamento]]))</f>
        <v/>
      </c>
      <c r="R211" s="17"/>
    </row>
    <row r="212" spans="1:18">
      <c r="A212" s="1">
        <v>211</v>
      </c>
      <c r="B212" s="1" t="s">
        <v>194</v>
      </c>
      <c r="C212" s="2">
        <v>31025</v>
      </c>
      <c r="D212" s="1" t="s">
        <v>19</v>
      </c>
      <c r="E212" s="1">
        <v>1209</v>
      </c>
      <c r="F212" s="1" t="s">
        <v>57</v>
      </c>
      <c r="G212" s="10">
        <v>4110</v>
      </c>
      <c r="H212" s="1" t="s">
        <v>34</v>
      </c>
      <c r="I212" s="2">
        <v>45885</v>
      </c>
      <c r="K212" s="1" t="s">
        <v>58</v>
      </c>
      <c r="L212" s="1" t="s">
        <v>22</v>
      </c>
      <c r="M212" s="14" t="str">
        <f>IF(Tabela1[[#This Row],[Data_Desligamento]]="","ATIVO","INATIVO")</f>
        <v>ATIVO</v>
      </c>
      <c r="N212" s="14" t="str">
        <f>TEXT(Tabela1[[#This Row],[Data_Admissão]],"mmm")</f>
        <v>ago</v>
      </c>
      <c r="O212" s="14" t="str">
        <f>TEXT(Tabela1[[#This Row],[Data_Desligamento]],"mmm")</f>
        <v>jan</v>
      </c>
      <c r="P212" s="17">
        <f>YEAR(Tabela1[[#This Row],[Data_Admissão]])</f>
        <v>2025</v>
      </c>
      <c r="Q212" s="17" t="str">
        <f>IF(Tabela1[[#This Row],[Data_Desligamento]]="", "", YEAR(Tabela1[[#This Row],[Data_Desligamento]]))</f>
        <v/>
      </c>
      <c r="R212" s="17"/>
    </row>
    <row r="213" spans="1:18">
      <c r="A213" s="1">
        <v>212</v>
      </c>
      <c r="B213" s="1" t="s">
        <v>321</v>
      </c>
      <c r="C213" s="2">
        <v>34419</v>
      </c>
      <c r="D213" s="1" t="s">
        <v>19</v>
      </c>
      <c r="E213" s="1">
        <v>1234</v>
      </c>
      <c r="F213" s="1" t="s">
        <v>20</v>
      </c>
      <c r="G213" s="10">
        <v>4013</v>
      </c>
      <c r="H213" s="1" t="s">
        <v>21</v>
      </c>
      <c r="I213" s="2">
        <v>45888</v>
      </c>
      <c r="K213" s="1" t="s">
        <v>60</v>
      </c>
      <c r="L213" s="1" t="s">
        <v>22</v>
      </c>
      <c r="M213" s="14" t="str">
        <f>IF(Tabela1[[#This Row],[Data_Desligamento]]="","ATIVO","INATIVO")</f>
        <v>ATIVO</v>
      </c>
      <c r="N213" s="14" t="str">
        <f>TEXT(Tabela1[[#This Row],[Data_Admissão]],"mmm")</f>
        <v>ago</v>
      </c>
      <c r="O213" s="14" t="str">
        <f>TEXT(Tabela1[[#This Row],[Data_Desligamento]],"mmm")</f>
        <v>jan</v>
      </c>
      <c r="P213" s="17">
        <f>YEAR(Tabela1[[#This Row],[Data_Admissão]])</f>
        <v>2025</v>
      </c>
      <c r="Q213" s="17" t="str">
        <f>IF(Tabela1[[#This Row],[Data_Desligamento]]="", "", YEAR(Tabela1[[#This Row],[Data_Desligamento]]))</f>
        <v/>
      </c>
      <c r="R213" s="17"/>
    </row>
    <row r="214" spans="1:18">
      <c r="A214" s="1">
        <v>213</v>
      </c>
      <c r="B214" s="1" t="s">
        <v>322</v>
      </c>
      <c r="C214" s="2">
        <v>27831</v>
      </c>
      <c r="D214" s="1" t="s">
        <v>19</v>
      </c>
      <c r="E214" s="1">
        <v>1146</v>
      </c>
      <c r="F214" s="1" t="s">
        <v>33</v>
      </c>
      <c r="G214" s="10">
        <v>4531</v>
      </c>
      <c r="H214" s="1" t="s">
        <v>34</v>
      </c>
      <c r="I214" s="2">
        <v>45889</v>
      </c>
      <c r="K214" s="1" t="s">
        <v>65</v>
      </c>
      <c r="L214" s="1" t="s">
        <v>22</v>
      </c>
      <c r="M214" s="14" t="str">
        <f>IF(Tabela1[[#This Row],[Data_Desligamento]]="","ATIVO","INATIVO")</f>
        <v>ATIVO</v>
      </c>
      <c r="N214" s="14" t="str">
        <f>TEXT(Tabela1[[#This Row],[Data_Admissão]],"mmm")</f>
        <v>ago</v>
      </c>
      <c r="O214" s="14" t="str">
        <f>TEXT(Tabela1[[#This Row],[Data_Desligamento]],"mmm")</f>
        <v>jan</v>
      </c>
      <c r="P214" s="17">
        <f>YEAR(Tabela1[[#This Row],[Data_Admissão]])</f>
        <v>2025</v>
      </c>
      <c r="Q214" s="17" t="str">
        <f>IF(Tabela1[[#This Row],[Data_Desligamento]]="", "", YEAR(Tabela1[[#This Row],[Data_Desligamento]]))</f>
        <v/>
      </c>
      <c r="R214" s="17"/>
    </row>
    <row r="215" spans="1:18">
      <c r="A215" s="1">
        <v>214</v>
      </c>
      <c r="B215" s="1" t="s">
        <v>323</v>
      </c>
      <c r="C215" s="2">
        <v>29091</v>
      </c>
      <c r="D215" s="1" t="s">
        <v>19</v>
      </c>
      <c r="E215" s="1">
        <v>1014</v>
      </c>
      <c r="F215" s="1" t="s">
        <v>48</v>
      </c>
      <c r="G215" s="10">
        <v>4494</v>
      </c>
      <c r="H215" s="1" t="s">
        <v>26</v>
      </c>
      <c r="I215" s="2">
        <v>45894</v>
      </c>
      <c r="K215" s="1" t="s">
        <v>69</v>
      </c>
      <c r="L215" s="1" t="s">
        <v>22</v>
      </c>
      <c r="M215" s="14" t="str">
        <f>IF(Tabela1[[#This Row],[Data_Desligamento]]="","ATIVO","INATIVO")</f>
        <v>ATIVO</v>
      </c>
      <c r="N215" s="14" t="str">
        <f>TEXT(Tabela1[[#This Row],[Data_Admissão]],"mmm")</f>
        <v>ago</v>
      </c>
      <c r="O215" s="14" t="str">
        <f>TEXT(Tabela1[[#This Row],[Data_Desligamento]],"mmm")</f>
        <v>jan</v>
      </c>
      <c r="P215" s="17">
        <f>YEAR(Tabela1[[#This Row],[Data_Admissão]])</f>
        <v>2025</v>
      </c>
      <c r="Q215" s="17" t="str">
        <f>IF(Tabela1[[#This Row],[Data_Desligamento]]="", "", YEAR(Tabela1[[#This Row],[Data_Desligamento]]))</f>
        <v/>
      </c>
      <c r="R215" s="17"/>
    </row>
    <row r="216" spans="1:18">
      <c r="A216" s="1">
        <v>215</v>
      </c>
      <c r="B216" s="1" t="s">
        <v>324</v>
      </c>
      <c r="C216" s="2">
        <v>26862</v>
      </c>
      <c r="D216" s="1" t="s">
        <v>19</v>
      </c>
      <c r="E216" s="1">
        <v>1191</v>
      </c>
      <c r="F216" s="1" t="s">
        <v>20</v>
      </c>
      <c r="G216" s="10">
        <v>3317</v>
      </c>
      <c r="H216" s="1" t="s">
        <v>21</v>
      </c>
      <c r="I216" s="2">
        <v>45898</v>
      </c>
      <c r="K216" s="1" t="s">
        <v>71</v>
      </c>
      <c r="L216" s="1" t="s">
        <v>22</v>
      </c>
      <c r="M216" s="14" t="str">
        <f>IF(Tabela1[[#This Row],[Data_Desligamento]]="","ATIVO","INATIVO")</f>
        <v>ATIVO</v>
      </c>
      <c r="N216" s="14" t="str">
        <f>TEXT(Tabela1[[#This Row],[Data_Admissão]],"mmm")</f>
        <v>ago</v>
      </c>
      <c r="O216" s="14" t="str">
        <f>TEXT(Tabela1[[#This Row],[Data_Desligamento]],"mmm")</f>
        <v>jan</v>
      </c>
      <c r="P216" s="17">
        <f>YEAR(Tabela1[[#This Row],[Data_Admissão]])</f>
        <v>2025</v>
      </c>
      <c r="Q216" s="17" t="str">
        <f>IF(Tabela1[[#This Row],[Data_Desligamento]]="", "", YEAR(Tabela1[[#This Row],[Data_Desligamento]]))</f>
        <v/>
      </c>
      <c r="R216" s="17"/>
    </row>
    <row r="217" spans="1:18">
      <c r="A217" s="1">
        <v>216</v>
      </c>
      <c r="B217" s="1" t="s">
        <v>311</v>
      </c>
      <c r="C217" s="2">
        <v>37938</v>
      </c>
      <c r="D217" s="1" t="s">
        <v>19</v>
      </c>
      <c r="E217" s="1">
        <v>1232</v>
      </c>
      <c r="F217" s="1" t="s">
        <v>33</v>
      </c>
      <c r="G217" s="10">
        <v>5285</v>
      </c>
      <c r="H217" s="1" t="s">
        <v>34</v>
      </c>
      <c r="I217" s="2">
        <v>45904</v>
      </c>
      <c r="K217" s="1" t="s">
        <v>73</v>
      </c>
      <c r="L217" s="1" t="s">
        <v>22</v>
      </c>
      <c r="M217" s="14" t="str">
        <f>IF(Tabela1[[#This Row],[Data_Desligamento]]="","ATIVO","INATIVO")</f>
        <v>ATIVO</v>
      </c>
      <c r="N217" s="14" t="str">
        <f>TEXT(Tabela1[[#This Row],[Data_Admissão]],"mmm")</f>
        <v>set</v>
      </c>
      <c r="O217" s="14" t="str">
        <f>TEXT(Tabela1[[#This Row],[Data_Desligamento]],"mmm")</f>
        <v>jan</v>
      </c>
      <c r="P217" s="17">
        <f>YEAR(Tabela1[[#This Row],[Data_Admissão]])</f>
        <v>2025</v>
      </c>
      <c r="Q217" s="17" t="str">
        <f>IF(Tabela1[[#This Row],[Data_Desligamento]]="", "", YEAR(Tabela1[[#This Row],[Data_Desligamento]]))</f>
        <v/>
      </c>
      <c r="R217" s="17"/>
    </row>
    <row r="218" spans="1:18">
      <c r="A218" s="1">
        <v>217</v>
      </c>
      <c r="B218" s="1" t="s">
        <v>325</v>
      </c>
      <c r="C218" s="2">
        <v>34425</v>
      </c>
      <c r="D218" s="1" t="s">
        <v>19</v>
      </c>
      <c r="E218" s="1">
        <v>1076</v>
      </c>
      <c r="F218" s="1" t="s">
        <v>76</v>
      </c>
      <c r="G218" s="10">
        <v>4842</v>
      </c>
      <c r="H218" s="1" t="s">
        <v>77</v>
      </c>
      <c r="I218" s="2">
        <v>45909</v>
      </c>
      <c r="K218" s="1" t="s">
        <v>22</v>
      </c>
      <c r="L218" s="1" t="s">
        <v>22</v>
      </c>
      <c r="M218" s="14" t="str">
        <f>IF(Tabela1[[#This Row],[Data_Desligamento]]="","ATIVO","INATIVO")</f>
        <v>ATIVO</v>
      </c>
      <c r="N218" s="14" t="str">
        <f>TEXT(Tabela1[[#This Row],[Data_Admissão]],"mmm")</f>
        <v>set</v>
      </c>
      <c r="O218" s="14" t="str">
        <f>TEXT(Tabela1[[#This Row],[Data_Desligamento]],"mmm")</f>
        <v>jan</v>
      </c>
      <c r="P218" s="17">
        <f>YEAR(Tabela1[[#This Row],[Data_Admissão]])</f>
        <v>2025</v>
      </c>
      <c r="Q218" s="17" t="str">
        <f>IF(Tabela1[[#This Row],[Data_Desligamento]]="", "", YEAR(Tabela1[[#This Row],[Data_Desligamento]]))</f>
        <v/>
      </c>
      <c r="R218" s="17"/>
    </row>
    <row r="219" spans="1:18">
      <c r="A219" s="1">
        <v>218</v>
      </c>
      <c r="B219" s="1" t="s">
        <v>326</v>
      </c>
      <c r="C219" s="2">
        <v>35177</v>
      </c>
      <c r="D219" s="1" t="s">
        <v>19</v>
      </c>
      <c r="E219" s="1">
        <v>1281</v>
      </c>
      <c r="F219" s="1" t="s">
        <v>68</v>
      </c>
      <c r="G219" s="10">
        <v>2641</v>
      </c>
      <c r="H219" s="1" t="s">
        <v>54</v>
      </c>
      <c r="I219" s="2">
        <v>45912</v>
      </c>
      <c r="K219" s="1" t="s">
        <v>22</v>
      </c>
      <c r="L219" s="1" t="s">
        <v>22</v>
      </c>
      <c r="M219" s="14" t="str">
        <f>IF(Tabela1[[#This Row],[Data_Desligamento]]="","ATIVO","INATIVO")</f>
        <v>ATIVO</v>
      </c>
      <c r="N219" s="14" t="str">
        <f>TEXT(Tabela1[[#This Row],[Data_Admissão]],"mmm")</f>
        <v>set</v>
      </c>
      <c r="O219" s="14" t="str">
        <f>TEXT(Tabela1[[#This Row],[Data_Desligamento]],"mmm")</f>
        <v>jan</v>
      </c>
      <c r="P219" s="17">
        <f>YEAR(Tabela1[[#This Row],[Data_Admissão]])</f>
        <v>2025</v>
      </c>
      <c r="Q219" s="17" t="str">
        <f>IF(Tabela1[[#This Row],[Data_Desligamento]]="", "", YEAR(Tabela1[[#This Row],[Data_Desligamento]]))</f>
        <v/>
      </c>
      <c r="R219" s="17"/>
    </row>
    <row r="220" spans="1:18">
      <c r="A220" s="1">
        <v>219</v>
      </c>
      <c r="B220" s="1" t="s">
        <v>327</v>
      </c>
      <c r="C220" s="2">
        <v>34458</v>
      </c>
      <c r="D220" s="1" t="s">
        <v>19</v>
      </c>
      <c r="E220" s="1">
        <v>1088</v>
      </c>
      <c r="F220" s="1" t="s">
        <v>76</v>
      </c>
      <c r="G220" s="10">
        <v>5736</v>
      </c>
      <c r="H220" s="1" t="s">
        <v>77</v>
      </c>
      <c r="I220" s="2">
        <v>45913</v>
      </c>
      <c r="K220" s="1" t="s">
        <v>22</v>
      </c>
      <c r="L220" s="1" t="s">
        <v>22</v>
      </c>
      <c r="M220" s="14" t="str">
        <f>IF(Tabela1[[#This Row],[Data_Desligamento]]="","ATIVO","INATIVO")</f>
        <v>ATIVO</v>
      </c>
      <c r="N220" s="14" t="str">
        <f>TEXT(Tabela1[[#This Row],[Data_Admissão]],"mmm")</f>
        <v>set</v>
      </c>
      <c r="O220" s="14" t="str">
        <f>TEXT(Tabela1[[#This Row],[Data_Desligamento]],"mmm")</f>
        <v>jan</v>
      </c>
      <c r="P220" s="17">
        <f>YEAR(Tabela1[[#This Row],[Data_Admissão]])</f>
        <v>2025</v>
      </c>
      <c r="Q220" s="17" t="str">
        <f>IF(Tabela1[[#This Row],[Data_Desligamento]]="", "", YEAR(Tabela1[[#This Row],[Data_Desligamento]]))</f>
        <v/>
      </c>
      <c r="R220" s="17"/>
    </row>
    <row r="221" spans="1:18">
      <c r="A221" s="1">
        <v>220</v>
      </c>
      <c r="B221" s="1" t="s">
        <v>167</v>
      </c>
      <c r="C221" s="2">
        <v>27298</v>
      </c>
      <c r="D221" s="1" t="s">
        <v>19</v>
      </c>
      <c r="E221" s="1">
        <v>1170</v>
      </c>
      <c r="F221" s="1" t="s">
        <v>63</v>
      </c>
      <c r="G221" s="10">
        <v>12294</v>
      </c>
      <c r="H221" s="1" t="s">
        <v>21</v>
      </c>
      <c r="I221" s="2">
        <v>45922</v>
      </c>
      <c r="J221" s="2">
        <v>46156</v>
      </c>
      <c r="K221" s="1" t="s">
        <v>79</v>
      </c>
      <c r="L221" s="1" t="s">
        <v>50</v>
      </c>
      <c r="M221" s="14" t="str">
        <f>IF(Tabela1[[#This Row],[Data_Desligamento]]="","ATIVO","INATIVO")</f>
        <v>INATIVO</v>
      </c>
      <c r="N221" s="14" t="str">
        <f>TEXT(Tabela1[[#This Row],[Data_Admissão]],"mmm")</f>
        <v>set</v>
      </c>
      <c r="O221" s="14" t="str">
        <f>TEXT(Tabela1[[#This Row],[Data_Desligamento]],"mmm")</f>
        <v>mai</v>
      </c>
      <c r="P221" s="17">
        <f>YEAR(Tabela1[[#This Row],[Data_Admissão]])</f>
        <v>2025</v>
      </c>
      <c r="Q221" s="17">
        <f>IF(Tabela1[[#This Row],[Data_Desligamento]]="", "", YEAR(Tabela1[[#This Row],[Data_Desligamento]]))</f>
        <v>2026</v>
      </c>
      <c r="R221" s="17"/>
    </row>
    <row r="222" spans="1:18">
      <c r="A222" s="1">
        <v>221</v>
      </c>
      <c r="B222" s="1" t="s">
        <v>328</v>
      </c>
      <c r="C222" s="2">
        <v>30377</v>
      </c>
      <c r="D222" s="1" t="s">
        <v>19</v>
      </c>
      <c r="E222" s="1">
        <v>1220</v>
      </c>
      <c r="F222" s="1" t="s">
        <v>30</v>
      </c>
      <c r="G222" s="10">
        <v>5053</v>
      </c>
      <c r="H222" s="1" t="s">
        <v>31</v>
      </c>
      <c r="I222" s="2">
        <v>45932</v>
      </c>
      <c r="K222" s="1" t="s">
        <v>22</v>
      </c>
      <c r="L222" s="1" t="s">
        <v>22</v>
      </c>
      <c r="M222" s="14" t="str">
        <f>IF(Tabela1[[#This Row],[Data_Desligamento]]="","ATIVO","INATIVO")</f>
        <v>ATIVO</v>
      </c>
      <c r="N222" s="14" t="str">
        <f>TEXT(Tabela1[[#This Row],[Data_Admissão]],"mmm")</f>
        <v>out</v>
      </c>
      <c r="O222" s="14" t="str">
        <f>TEXT(Tabela1[[#This Row],[Data_Desligamento]],"mmm")</f>
        <v>jan</v>
      </c>
      <c r="P222" s="17">
        <f>YEAR(Tabela1[[#This Row],[Data_Admissão]])</f>
        <v>2025</v>
      </c>
      <c r="Q222" s="17" t="str">
        <f>IF(Tabela1[[#This Row],[Data_Desligamento]]="", "", YEAR(Tabela1[[#This Row],[Data_Desligamento]]))</f>
        <v/>
      </c>
      <c r="R222" s="17"/>
    </row>
    <row r="223" spans="1:18">
      <c r="A223" s="1">
        <v>222</v>
      </c>
      <c r="B223" s="1" t="s">
        <v>193</v>
      </c>
      <c r="C223" s="2">
        <v>26531</v>
      </c>
      <c r="D223" s="1" t="s">
        <v>19</v>
      </c>
      <c r="E223" s="1">
        <v>1185</v>
      </c>
      <c r="F223" s="1" t="s">
        <v>44</v>
      </c>
      <c r="G223" s="10">
        <v>3897</v>
      </c>
      <c r="H223" s="1" t="s">
        <v>45</v>
      </c>
      <c r="I223" s="2">
        <v>45932</v>
      </c>
      <c r="K223" s="1" t="s">
        <v>92</v>
      </c>
      <c r="L223" s="1" t="s">
        <v>22</v>
      </c>
      <c r="M223" s="14" t="str">
        <f>IF(Tabela1[[#This Row],[Data_Desligamento]]="","ATIVO","INATIVO")</f>
        <v>ATIVO</v>
      </c>
      <c r="N223" s="14" t="str">
        <f>TEXT(Tabela1[[#This Row],[Data_Admissão]],"mmm")</f>
        <v>out</v>
      </c>
      <c r="O223" s="14" t="str">
        <f>TEXT(Tabela1[[#This Row],[Data_Desligamento]],"mmm")</f>
        <v>jan</v>
      </c>
      <c r="P223" s="17">
        <f>YEAR(Tabela1[[#This Row],[Data_Admissão]])</f>
        <v>2025</v>
      </c>
      <c r="Q223" s="17" t="str">
        <f>IF(Tabela1[[#This Row],[Data_Desligamento]]="", "", YEAR(Tabela1[[#This Row],[Data_Desligamento]]))</f>
        <v/>
      </c>
      <c r="R223" s="17"/>
    </row>
    <row r="224" spans="1:18">
      <c r="A224" s="1">
        <v>223</v>
      </c>
      <c r="B224" s="1" t="s">
        <v>329</v>
      </c>
      <c r="C224" s="2">
        <v>33716</v>
      </c>
      <c r="D224" s="1" t="s">
        <v>19</v>
      </c>
      <c r="E224" s="1">
        <v>1329</v>
      </c>
      <c r="F224" s="1" t="s">
        <v>89</v>
      </c>
      <c r="G224" s="10">
        <v>3559</v>
      </c>
      <c r="H224" s="1" t="s">
        <v>77</v>
      </c>
      <c r="I224" s="2">
        <v>45933</v>
      </c>
      <c r="K224" s="1" t="s">
        <v>22</v>
      </c>
      <c r="L224" s="1" t="s">
        <v>22</v>
      </c>
      <c r="M224" s="14" t="str">
        <f>IF(Tabela1[[#This Row],[Data_Desligamento]]="","ATIVO","INATIVO")</f>
        <v>ATIVO</v>
      </c>
      <c r="N224" s="14" t="str">
        <f>TEXT(Tabela1[[#This Row],[Data_Admissão]],"mmm")</f>
        <v>out</v>
      </c>
      <c r="O224" s="14" t="str">
        <f>TEXT(Tabela1[[#This Row],[Data_Desligamento]],"mmm")</f>
        <v>jan</v>
      </c>
      <c r="P224" s="17">
        <f>YEAR(Tabela1[[#This Row],[Data_Admissão]])</f>
        <v>2025</v>
      </c>
      <c r="Q224" s="17" t="str">
        <f>IF(Tabela1[[#This Row],[Data_Desligamento]]="", "", YEAR(Tabela1[[#This Row],[Data_Desligamento]]))</f>
        <v/>
      </c>
      <c r="R224" s="17"/>
    </row>
    <row r="225" spans="1:18">
      <c r="A225" s="1">
        <v>224</v>
      </c>
      <c r="B225" s="1" t="s">
        <v>330</v>
      </c>
      <c r="C225" s="2">
        <v>36903</v>
      </c>
      <c r="D225" s="1" t="s">
        <v>19</v>
      </c>
      <c r="E225" s="1">
        <v>1018</v>
      </c>
      <c r="F225" s="1" t="s">
        <v>53</v>
      </c>
      <c r="G225" s="10">
        <v>3711</v>
      </c>
      <c r="H225" s="1" t="s">
        <v>54</v>
      </c>
      <c r="I225" s="2">
        <v>45934</v>
      </c>
      <c r="K225" s="1" t="s">
        <v>95</v>
      </c>
      <c r="L225" s="1" t="s">
        <v>22</v>
      </c>
      <c r="M225" s="14" t="str">
        <f>IF(Tabela1[[#This Row],[Data_Desligamento]]="","ATIVO","INATIVO")</f>
        <v>ATIVO</v>
      </c>
      <c r="N225" s="14" t="str">
        <f>TEXT(Tabela1[[#This Row],[Data_Admissão]],"mmm")</f>
        <v>out</v>
      </c>
      <c r="O225" s="14" t="str">
        <f>TEXT(Tabela1[[#This Row],[Data_Desligamento]],"mmm")</f>
        <v>jan</v>
      </c>
      <c r="P225" s="17">
        <f>YEAR(Tabela1[[#This Row],[Data_Admissão]])</f>
        <v>2025</v>
      </c>
      <c r="Q225" s="17" t="str">
        <f>IF(Tabela1[[#This Row],[Data_Desligamento]]="", "", YEAR(Tabela1[[#This Row],[Data_Desligamento]]))</f>
        <v/>
      </c>
      <c r="R225" s="17"/>
    </row>
    <row r="226" spans="1:18">
      <c r="A226" s="1">
        <v>225</v>
      </c>
      <c r="B226" s="1" t="s">
        <v>331</v>
      </c>
      <c r="C226" s="2">
        <v>36879</v>
      </c>
      <c r="D226" s="1" t="s">
        <v>19</v>
      </c>
      <c r="E226" s="1">
        <v>1262</v>
      </c>
      <c r="F226" s="1" t="s">
        <v>48</v>
      </c>
      <c r="G226" s="10">
        <v>3615</v>
      </c>
      <c r="H226" s="1" t="s">
        <v>26</v>
      </c>
      <c r="I226" s="2">
        <v>45938</v>
      </c>
      <c r="K226" s="1" t="s">
        <v>22</v>
      </c>
      <c r="L226" s="1" t="s">
        <v>22</v>
      </c>
      <c r="M226" s="14" t="str">
        <f>IF(Tabela1[[#This Row],[Data_Desligamento]]="","ATIVO","INATIVO")</f>
        <v>ATIVO</v>
      </c>
      <c r="N226" s="14" t="str">
        <f>TEXT(Tabela1[[#This Row],[Data_Admissão]],"mmm")</f>
        <v>out</v>
      </c>
      <c r="O226" s="14" t="str">
        <f>TEXT(Tabela1[[#This Row],[Data_Desligamento]],"mmm")</f>
        <v>jan</v>
      </c>
      <c r="P226" s="17">
        <f>YEAR(Tabela1[[#This Row],[Data_Admissão]])</f>
        <v>2025</v>
      </c>
      <c r="Q226" s="17" t="str">
        <f>IF(Tabela1[[#This Row],[Data_Desligamento]]="", "", YEAR(Tabela1[[#This Row],[Data_Desligamento]]))</f>
        <v/>
      </c>
      <c r="R226" s="17"/>
    </row>
    <row r="227" spans="1:18">
      <c r="A227" s="1">
        <v>226</v>
      </c>
      <c r="B227" s="1" t="s">
        <v>332</v>
      </c>
      <c r="C227" s="2">
        <v>38157</v>
      </c>
      <c r="D227" s="1" t="s">
        <v>19</v>
      </c>
      <c r="E227" s="1">
        <v>1184</v>
      </c>
      <c r="F227" s="1" t="s">
        <v>33</v>
      </c>
      <c r="G227" s="10">
        <v>6497</v>
      </c>
      <c r="H227" s="1" t="s">
        <v>34</v>
      </c>
      <c r="I227" s="2">
        <v>45941</v>
      </c>
      <c r="K227" s="1" t="s">
        <v>98</v>
      </c>
      <c r="L227" s="1" t="s">
        <v>22</v>
      </c>
      <c r="M227" s="14" t="str">
        <f>IF(Tabela1[[#This Row],[Data_Desligamento]]="","ATIVO","INATIVO")</f>
        <v>ATIVO</v>
      </c>
      <c r="N227" s="14" t="str">
        <f>TEXT(Tabela1[[#This Row],[Data_Admissão]],"mmm")</f>
        <v>out</v>
      </c>
      <c r="O227" s="14" t="str">
        <f>TEXT(Tabela1[[#This Row],[Data_Desligamento]],"mmm")</f>
        <v>jan</v>
      </c>
      <c r="P227" s="17">
        <f>YEAR(Tabela1[[#This Row],[Data_Admissão]])</f>
        <v>2025</v>
      </c>
      <c r="Q227" s="17" t="str">
        <f>IF(Tabela1[[#This Row],[Data_Desligamento]]="", "", YEAR(Tabela1[[#This Row],[Data_Desligamento]]))</f>
        <v/>
      </c>
      <c r="R227" s="17"/>
    </row>
    <row r="228" spans="1:18">
      <c r="A228" s="1">
        <v>227</v>
      </c>
      <c r="B228" s="1" t="s">
        <v>206</v>
      </c>
      <c r="C228" s="2">
        <v>27533</v>
      </c>
      <c r="D228" s="1" t="s">
        <v>19</v>
      </c>
      <c r="E228" s="1">
        <v>1092</v>
      </c>
      <c r="F228" s="1" t="s">
        <v>33</v>
      </c>
      <c r="G228" s="10">
        <v>5635</v>
      </c>
      <c r="H228" s="1" t="s">
        <v>34</v>
      </c>
      <c r="I228" s="2">
        <v>45941</v>
      </c>
      <c r="J228" s="2">
        <v>46244</v>
      </c>
      <c r="K228" s="1" t="s">
        <v>22</v>
      </c>
      <c r="L228" s="1" t="s">
        <v>74</v>
      </c>
      <c r="M228" s="14" t="str">
        <f>IF(Tabela1[[#This Row],[Data_Desligamento]]="","ATIVO","INATIVO")</f>
        <v>INATIVO</v>
      </c>
      <c r="N228" s="14" t="str">
        <f>TEXT(Tabela1[[#This Row],[Data_Admissão]],"mmm")</f>
        <v>out</v>
      </c>
      <c r="O228" s="14" t="str">
        <f>TEXT(Tabela1[[#This Row],[Data_Desligamento]],"mmm")</f>
        <v>ago</v>
      </c>
      <c r="P228" s="17">
        <f>YEAR(Tabela1[[#This Row],[Data_Admissão]])</f>
        <v>2025</v>
      </c>
      <c r="Q228" s="17">
        <f>IF(Tabela1[[#This Row],[Data_Desligamento]]="", "", YEAR(Tabela1[[#This Row],[Data_Desligamento]]))</f>
        <v>2026</v>
      </c>
      <c r="R228" s="17"/>
    </row>
    <row r="229" spans="1:18">
      <c r="A229" s="1">
        <v>228</v>
      </c>
      <c r="B229" s="1" t="s">
        <v>333</v>
      </c>
      <c r="C229" s="2">
        <v>37447</v>
      </c>
      <c r="D229" s="1" t="s">
        <v>19</v>
      </c>
      <c r="E229" s="1">
        <v>1221</v>
      </c>
      <c r="F229" s="1" t="s">
        <v>44</v>
      </c>
      <c r="G229" s="10">
        <v>3628</v>
      </c>
      <c r="H229" s="1" t="s">
        <v>45</v>
      </c>
      <c r="I229" s="2">
        <v>45945</v>
      </c>
      <c r="K229" s="1" t="s">
        <v>100</v>
      </c>
      <c r="L229" s="1" t="s">
        <v>22</v>
      </c>
      <c r="M229" s="14" t="str">
        <f>IF(Tabela1[[#This Row],[Data_Desligamento]]="","ATIVO","INATIVO")</f>
        <v>ATIVO</v>
      </c>
      <c r="N229" s="14" t="str">
        <f>TEXT(Tabela1[[#This Row],[Data_Admissão]],"mmm")</f>
        <v>out</v>
      </c>
      <c r="O229" s="14" t="str">
        <f>TEXT(Tabela1[[#This Row],[Data_Desligamento]],"mmm")</f>
        <v>jan</v>
      </c>
      <c r="P229" s="17">
        <f>YEAR(Tabela1[[#This Row],[Data_Admissão]])</f>
        <v>2025</v>
      </c>
      <c r="Q229" s="17" t="str">
        <f>IF(Tabela1[[#This Row],[Data_Desligamento]]="", "", YEAR(Tabela1[[#This Row],[Data_Desligamento]]))</f>
        <v/>
      </c>
      <c r="R229" s="17"/>
    </row>
    <row r="230" spans="1:18">
      <c r="A230" s="1">
        <v>229</v>
      </c>
      <c r="B230" s="1" t="s">
        <v>334</v>
      </c>
      <c r="C230" s="2">
        <v>34963</v>
      </c>
      <c r="D230" s="1" t="s">
        <v>19</v>
      </c>
      <c r="E230" s="1">
        <v>1177</v>
      </c>
      <c r="F230" s="1" t="s">
        <v>38</v>
      </c>
      <c r="G230" s="10">
        <v>13743</v>
      </c>
      <c r="H230" s="1" t="s">
        <v>39</v>
      </c>
      <c r="I230" s="2">
        <v>45947</v>
      </c>
      <c r="J230" s="2">
        <v>46011</v>
      </c>
      <c r="K230" s="1" t="s">
        <v>103</v>
      </c>
      <c r="L230" s="1" t="s">
        <v>82</v>
      </c>
      <c r="M230" s="14" t="str">
        <f>IF(Tabela1[[#This Row],[Data_Desligamento]]="","ATIVO","INATIVO")</f>
        <v>INATIVO</v>
      </c>
      <c r="N230" s="14" t="str">
        <f>TEXT(Tabela1[[#This Row],[Data_Admissão]],"mmm")</f>
        <v>out</v>
      </c>
      <c r="O230" s="14" t="str">
        <f>TEXT(Tabela1[[#This Row],[Data_Desligamento]],"mmm")</f>
        <v>dez</v>
      </c>
      <c r="P230" s="17">
        <f>YEAR(Tabela1[[#This Row],[Data_Admissão]])</f>
        <v>2025</v>
      </c>
      <c r="Q230" s="17">
        <f>IF(Tabela1[[#This Row],[Data_Desligamento]]="", "", YEAR(Tabela1[[#This Row],[Data_Desligamento]]))</f>
        <v>2025</v>
      </c>
      <c r="R230" s="17"/>
    </row>
    <row r="231" spans="1:18">
      <c r="A231" s="1">
        <v>230</v>
      </c>
      <c r="B231" s="1" t="s">
        <v>335</v>
      </c>
      <c r="C231" s="2">
        <v>33915</v>
      </c>
      <c r="D231" s="1" t="s">
        <v>19</v>
      </c>
      <c r="E231" s="1">
        <v>1290</v>
      </c>
      <c r="F231" s="1" t="s">
        <v>68</v>
      </c>
      <c r="G231" s="10">
        <v>2478</v>
      </c>
      <c r="H231" s="1" t="s">
        <v>54</v>
      </c>
      <c r="I231" s="2">
        <v>45955</v>
      </c>
      <c r="K231" s="1" t="s">
        <v>105</v>
      </c>
      <c r="L231" s="1" t="s">
        <v>22</v>
      </c>
      <c r="M231" s="14" t="str">
        <f>IF(Tabela1[[#This Row],[Data_Desligamento]]="","ATIVO","INATIVO")</f>
        <v>ATIVO</v>
      </c>
      <c r="N231" s="14" t="str">
        <f>TEXT(Tabela1[[#This Row],[Data_Admissão]],"mmm")</f>
        <v>out</v>
      </c>
      <c r="O231" s="14" t="str">
        <f>TEXT(Tabela1[[#This Row],[Data_Desligamento]],"mmm")</f>
        <v>jan</v>
      </c>
      <c r="P231" s="17">
        <f>YEAR(Tabela1[[#This Row],[Data_Admissão]])</f>
        <v>2025</v>
      </c>
      <c r="Q231" s="17" t="str">
        <f>IF(Tabela1[[#This Row],[Data_Desligamento]]="", "", YEAR(Tabela1[[#This Row],[Data_Desligamento]]))</f>
        <v/>
      </c>
      <c r="R231" s="17"/>
    </row>
    <row r="232" spans="1:18">
      <c r="A232" s="1">
        <v>231</v>
      </c>
      <c r="B232" s="1" t="s">
        <v>336</v>
      </c>
      <c r="C232" s="2">
        <v>27168</v>
      </c>
      <c r="D232" s="1" t="s">
        <v>19</v>
      </c>
      <c r="E232" s="1">
        <v>1140</v>
      </c>
      <c r="F232" s="1" t="s">
        <v>38</v>
      </c>
      <c r="G232" s="10">
        <v>14225</v>
      </c>
      <c r="H232" s="1" t="s">
        <v>39</v>
      </c>
      <c r="I232" s="2">
        <v>45960</v>
      </c>
      <c r="J232" s="2">
        <v>46277</v>
      </c>
      <c r="K232" s="1" t="s">
        <v>22</v>
      </c>
      <c r="L232" s="1" t="s">
        <v>84</v>
      </c>
      <c r="M232" s="14" t="str">
        <f>IF(Tabela1[[#This Row],[Data_Desligamento]]="","ATIVO","INATIVO")</f>
        <v>INATIVO</v>
      </c>
      <c r="N232" s="14" t="str">
        <f>TEXT(Tabela1[[#This Row],[Data_Admissão]],"mmm")</f>
        <v>out</v>
      </c>
      <c r="O232" s="14" t="str">
        <f>TEXT(Tabela1[[#This Row],[Data_Desligamento]],"mmm")</f>
        <v>set</v>
      </c>
      <c r="P232" s="17">
        <f>YEAR(Tabela1[[#This Row],[Data_Admissão]])</f>
        <v>2025</v>
      </c>
      <c r="Q232" s="17">
        <f>IF(Tabela1[[#This Row],[Data_Desligamento]]="", "", YEAR(Tabela1[[#This Row],[Data_Desligamento]]))</f>
        <v>2026</v>
      </c>
      <c r="R232" s="17"/>
    </row>
    <row r="233" spans="1:18">
      <c r="A233" s="1">
        <v>232</v>
      </c>
      <c r="B233" s="1" t="s">
        <v>337</v>
      </c>
      <c r="C233" s="2">
        <v>31817</v>
      </c>
      <c r="D233" s="1" t="s">
        <v>19</v>
      </c>
      <c r="E233" s="1">
        <v>1021</v>
      </c>
      <c r="F233" s="1" t="s">
        <v>63</v>
      </c>
      <c r="G233" s="10">
        <v>8923</v>
      </c>
      <c r="H233" s="1" t="s">
        <v>21</v>
      </c>
      <c r="I233" s="2">
        <v>45960</v>
      </c>
      <c r="K233" s="1" t="s">
        <v>107</v>
      </c>
      <c r="L233" s="1" t="s">
        <v>22</v>
      </c>
      <c r="M233" s="14" t="str">
        <f>IF(Tabela1[[#This Row],[Data_Desligamento]]="","ATIVO","INATIVO")</f>
        <v>ATIVO</v>
      </c>
      <c r="N233" s="14" t="str">
        <f>TEXT(Tabela1[[#This Row],[Data_Admissão]],"mmm")</f>
        <v>out</v>
      </c>
      <c r="O233" s="14" t="str">
        <f>TEXT(Tabela1[[#This Row],[Data_Desligamento]],"mmm")</f>
        <v>jan</v>
      </c>
      <c r="P233" s="17">
        <f>YEAR(Tabela1[[#This Row],[Data_Admissão]])</f>
        <v>2025</v>
      </c>
      <c r="Q233" s="17" t="str">
        <f>IF(Tabela1[[#This Row],[Data_Desligamento]]="", "", YEAR(Tabela1[[#This Row],[Data_Desligamento]]))</f>
        <v/>
      </c>
      <c r="R233" s="17"/>
    </row>
    <row r="234" spans="1:18">
      <c r="A234" s="1">
        <v>233</v>
      </c>
      <c r="B234" s="1" t="s">
        <v>338</v>
      </c>
      <c r="C234" s="2">
        <v>36938</v>
      </c>
      <c r="D234" s="1" t="s">
        <v>19</v>
      </c>
      <c r="E234" s="1">
        <v>1006</v>
      </c>
      <c r="F234" s="1" t="s">
        <v>38</v>
      </c>
      <c r="G234" s="10">
        <v>10052</v>
      </c>
      <c r="H234" s="1" t="s">
        <v>39</v>
      </c>
      <c r="I234" s="2">
        <v>45963</v>
      </c>
      <c r="K234" s="1" t="s">
        <v>109</v>
      </c>
      <c r="L234" s="1" t="s">
        <v>22</v>
      </c>
      <c r="M234" s="14" t="str">
        <f>IF(Tabela1[[#This Row],[Data_Desligamento]]="","ATIVO","INATIVO")</f>
        <v>ATIVO</v>
      </c>
      <c r="N234" s="14" t="str">
        <f>TEXT(Tabela1[[#This Row],[Data_Admissão]],"mmm")</f>
        <v>nov</v>
      </c>
      <c r="O234" s="14" t="str">
        <f>TEXT(Tabela1[[#This Row],[Data_Desligamento]],"mmm")</f>
        <v>jan</v>
      </c>
      <c r="P234" s="17">
        <f>YEAR(Tabela1[[#This Row],[Data_Admissão]])</f>
        <v>2025</v>
      </c>
      <c r="Q234" s="17" t="str">
        <f>IF(Tabela1[[#This Row],[Data_Desligamento]]="", "", YEAR(Tabela1[[#This Row],[Data_Desligamento]]))</f>
        <v/>
      </c>
      <c r="R234" s="17"/>
    </row>
    <row r="235" spans="1:18">
      <c r="A235" s="1">
        <v>234</v>
      </c>
      <c r="B235" s="1" t="s">
        <v>339</v>
      </c>
      <c r="C235" s="2">
        <v>33588</v>
      </c>
      <c r="D235" s="1" t="s">
        <v>19</v>
      </c>
      <c r="E235" s="1">
        <v>1250</v>
      </c>
      <c r="F235" s="1" t="s">
        <v>68</v>
      </c>
      <c r="G235" s="10">
        <v>3022</v>
      </c>
      <c r="H235" s="1" t="s">
        <v>54</v>
      </c>
      <c r="I235" s="2">
        <v>45963</v>
      </c>
      <c r="K235" s="1" t="s">
        <v>113</v>
      </c>
      <c r="L235" s="1" t="s">
        <v>22</v>
      </c>
      <c r="M235" s="14" t="str">
        <f>IF(Tabela1[[#This Row],[Data_Desligamento]]="","ATIVO","INATIVO")</f>
        <v>ATIVO</v>
      </c>
      <c r="N235" s="14" t="str">
        <f>TEXT(Tabela1[[#This Row],[Data_Admissão]],"mmm")</f>
        <v>nov</v>
      </c>
      <c r="O235" s="14" t="str">
        <f>TEXT(Tabela1[[#This Row],[Data_Desligamento]],"mmm")</f>
        <v>jan</v>
      </c>
      <c r="P235" s="17">
        <f>YEAR(Tabela1[[#This Row],[Data_Admissão]])</f>
        <v>2025</v>
      </c>
      <c r="Q235" s="17" t="str">
        <f>IF(Tabela1[[#This Row],[Data_Desligamento]]="", "", YEAR(Tabela1[[#This Row],[Data_Desligamento]]))</f>
        <v/>
      </c>
      <c r="R235" s="17"/>
    </row>
    <row r="236" spans="1:18">
      <c r="A236" s="1">
        <v>235</v>
      </c>
      <c r="B236" s="1" t="s">
        <v>340</v>
      </c>
      <c r="C236" s="2">
        <v>34186</v>
      </c>
      <c r="D236" s="1" t="s">
        <v>19</v>
      </c>
      <c r="E236" s="1">
        <v>1229</v>
      </c>
      <c r="F236" s="1" t="s">
        <v>44</v>
      </c>
      <c r="G236" s="10">
        <v>6858</v>
      </c>
      <c r="H236" s="1" t="s">
        <v>45</v>
      </c>
      <c r="I236" s="2">
        <v>45964</v>
      </c>
      <c r="K236" s="1" t="s">
        <v>22</v>
      </c>
      <c r="L236" s="1" t="s">
        <v>22</v>
      </c>
      <c r="M236" s="14" t="str">
        <f>IF(Tabela1[[#This Row],[Data_Desligamento]]="","ATIVO","INATIVO")</f>
        <v>ATIVO</v>
      </c>
      <c r="N236" s="14" t="str">
        <f>TEXT(Tabela1[[#This Row],[Data_Admissão]],"mmm")</f>
        <v>nov</v>
      </c>
      <c r="O236" s="14" t="str">
        <f>TEXT(Tabela1[[#This Row],[Data_Desligamento]],"mmm")</f>
        <v>jan</v>
      </c>
      <c r="P236" s="17">
        <f>YEAR(Tabela1[[#This Row],[Data_Admissão]])</f>
        <v>2025</v>
      </c>
      <c r="Q236" s="17" t="str">
        <f>IF(Tabela1[[#This Row],[Data_Desligamento]]="", "", YEAR(Tabela1[[#This Row],[Data_Desligamento]]))</f>
        <v/>
      </c>
      <c r="R236" s="17"/>
    </row>
    <row r="237" spans="1:18">
      <c r="A237" s="1">
        <v>236</v>
      </c>
      <c r="B237" s="1" t="s">
        <v>341</v>
      </c>
      <c r="C237" s="2">
        <v>27131</v>
      </c>
      <c r="D237" s="1" t="s">
        <v>19</v>
      </c>
      <c r="E237" s="1">
        <v>1291</v>
      </c>
      <c r="F237" s="1" t="s">
        <v>81</v>
      </c>
      <c r="G237" s="10">
        <v>1435</v>
      </c>
      <c r="H237" s="1" t="s">
        <v>45</v>
      </c>
      <c r="I237" s="2">
        <v>45966</v>
      </c>
      <c r="J237" s="2">
        <v>46320</v>
      </c>
      <c r="K237" s="1" t="s">
        <v>115</v>
      </c>
      <c r="L237" s="1" t="s">
        <v>87</v>
      </c>
      <c r="M237" s="14" t="str">
        <f>IF(Tabela1[[#This Row],[Data_Desligamento]]="","ATIVO","INATIVO")</f>
        <v>INATIVO</v>
      </c>
      <c r="N237" s="14" t="str">
        <f>TEXT(Tabela1[[#This Row],[Data_Admissão]],"mmm")</f>
        <v>nov</v>
      </c>
      <c r="O237" s="14" t="str">
        <f>TEXT(Tabela1[[#This Row],[Data_Desligamento]],"mmm")</f>
        <v>out</v>
      </c>
      <c r="P237" s="17">
        <f>YEAR(Tabela1[[#This Row],[Data_Admissão]])</f>
        <v>2025</v>
      </c>
      <c r="Q237" s="17">
        <f>IF(Tabela1[[#This Row],[Data_Desligamento]]="", "", YEAR(Tabela1[[#This Row],[Data_Desligamento]]))</f>
        <v>2026</v>
      </c>
      <c r="R237" s="17"/>
    </row>
    <row r="238" spans="1:18">
      <c r="A238" s="1">
        <v>237</v>
      </c>
      <c r="B238" s="1" t="s">
        <v>342</v>
      </c>
      <c r="C238" s="2">
        <v>35523</v>
      </c>
      <c r="D238" s="1" t="s">
        <v>19</v>
      </c>
      <c r="E238" s="1">
        <v>1280</v>
      </c>
      <c r="F238" s="1" t="s">
        <v>138</v>
      </c>
      <c r="G238" s="10">
        <v>5770</v>
      </c>
      <c r="H238" s="1" t="s">
        <v>139</v>
      </c>
      <c r="I238" s="2">
        <v>45970</v>
      </c>
      <c r="J238" s="2">
        <v>46199</v>
      </c>
      <c r="K238" s="1" t="s">
        <v>22</v>
      </c>
      <c r="L238" s="1" t="s">
        <v>90</v>
      </c>
      <c r="M238" s="14" t="str">
        <f>IF(Tabela1[[#This Row],[Data_Desligamento]]="","ATIVO","INATIVO")</f>
        <v>INATIVO</v>
      </c>
      <c r="N238" s="14" t="str">
        <f>TEXT(Tabela1[[#This Row],[Data_Admissão]],"mmm")</f>
        <v>nov</v>
      </c>
      <c r="O238" s="14" t="str">
        <f>TEXT(Tabela1[[#This Row],[Data_Desligamento]],"mmm")</f>
        <v>jun</v>
      </c>
      <c r="P238" s="17">
        <f>YEAR(Tabela1[[#This Row],[Data_Admissão]])</f>
        <v>2025</v>
      </c>
      <c r="Q238" s="17">
        <f>IF(Tabela1[[#This Row],[Data_Desligamento]]="", "", YEAR(Tabela1[[#This Row],[Data_Desligamento]]))</f>
        <v>2026</v>
      </c>
      <c r="R238" s="17"/>
    </row>
    <row r="239" spans="1:18">
      <c r="A239" s="1">
        <v>238</v>
      </c>
      <c r="B239" s="1" t="s">
        <v>343</v>
      </c>
      <c r="C239" s="2">
        <v>37380</v>
      </c>
      <c r="D239" s="1" t="s">
        <v>19</v>
      </c>
      <c r="E239" s="1">
        <v>1249</v>
      </c>
      <c r="F239" s="1" t="s">
        <v>68</v>
      </c>
      <c r="G239" s="10">
        <v>3085</v>
      </c>
      <c r="H239" s="1" t="s">
        <v>54</v>
      </c>
      <c r="I239" s="2">
        <v>45976</v>
      </c>
      <c r="K239" s="1" t="s">
        <v>118</v>
      </c>
      <c r="L239" s="1" t="s">
        <v>22</v>
      </c>
      <c r="M239" s="14" t="str">
        <f>IF(Tabela1[[#This Row],[Data_Desligamento]]="","ATIVO","INATIVO")</f>
        <v>ATIVO</v>
      </c>
      <c r="N239" s="14" t="str">
        <f>TEXT(Tabela1[[#This Row],[Data_Admissão]],"mmm")</f>
        <v>nov</v>
      </c>
      <c r="O239" s="14" t="str">
        <f>TEXT(Tabela1[[#This Row],[Data_Desligamento]],"mmm")</f>
        <v>jan</v>
      </c>
      <c r="P239" s="17">
        <f>YEAR(Tabela1[[#This Row],[Data_Admissão]])</f>
        <v>2025</v>
      </c>
      <c r="Q239" s="17" t="str">
        <f>IF(Tabela1[[#This Row],[Data_Desligamento]]="", "", YEAR(Tabela1[[#This Row],[Data_Desligamento]]))</f>
        <v/>
      </c>
      <c r="R239" s="17"/>
    </row>
    <row r="240" spans="1:18">
      <c r="A240" s="1">
        <v>239</v>
      </c>
      <c r="B240" s="1" t="s">
        <v>344</v>
      </c>
      <c r="C240" s="2">
        <v>36401</v>
      </c>
      <c r="D240" s="1" t="s">
        <v>19</v>
      </c>
      <c r="E240" s="1">
        <v>1243</v>
      </c>
      <c r="F240" s="1" t="s">
        <v>76</v>
      </c>
      <c r="G240" s="10">
        <v>8661</v>
      </c>
      <c r="H240" s="1" t="s">
        <v>77</v>
      </c>
      <c r="I240" s="2">
        <v>45977</v>
      </c>
      <c r="K240" s="1" t="s">
        <v>120</v>
      </c>
      <c r="L240" s="1" t="s">
        <v>22</v>
      </c>
      <c r="M240" s="14" t="str">
        <f>IF(Tabela1[[#This Row],[Data_Desligamento]]="","ATIVO","INATIVO")</f>
        <v>ATIVO</v>
      </c>
      <c r="N240" s="14" t="str">
        <f>TEXT(Tabela1[[#This Row],[Data_Admissão]],"mmm")</f>
        <v>nov</v>
      </c>
      <c r="O240" s="14" t="str">
        <f>TEXT(Tabela1[[#This Row],[Data_Desligamento]],"mmm")</f>
        <v>jan</v>
      </c>
      <c r="P240" s="17">
        <f>YEAR(Tabela1[[#This Row],[Data_Admissão]])</f>
        <v>2025</v>
      </c>
      <c r="Q240" s="17" t="str">
        <f>IF(Tabela1[[#This Row],[Data_Desligamento]]="", "", YEAR(Tabela1[[#This Row],[Data_Desligamento]]))</f>
        <v/>
      </c>
      <c r="R240" s="17"/>
    </row>
    <row r="241" spans="1:18">
      <c r="A241" s="1">
        <v>240</v>
      </c>
      <c r="B241" s="1" t="s">
        <v>345</v>
      </c>
      <c r="C241" s="2">
        <v>25769</v>
      </c>
      <c r="D241" s="1" t="s">
        <v>19</v>
      </c>
      <c r="E241" s="1">
        <v>1207</v>
      </c>
      <c r="F241" s="1" t="s">
        <v>53</v>
      </c>
      <c r="G241" s="10">
        <v>4160</v>
      </c>
      <c r="H241" s="1" t="s">
        <v>54</v>
      </c>
      <c r="I241" s="2">
        <v>45977</v>
      </c>
      <c r="K241" s="1" t="s">
        <v>123</v>
      </c>
      <c r="L241" s="1" t="s">
        <v>22</v>
      </c>
      <c r="M241" s="14" t="str">
        <f>IF(Tabela1[[#This Row],[Data_Desligamento]]="","ATIVO","INATIVO")</f>
        <v>ATIVO</v>
      </c>
      <c r="N241" s="14" t="str">
        <f>TEXT(Tabela1[[#This Row],[Data_Admissão]],"mmm")</f>
        <v>nov</v>
      </c>
      <c r="O241" s="14" t="str">
        <f>TEXT(Tabela1[[#This Row],[Data_Desligamento]],"mmm")</f>
        <v>jan</v>
      </c>
      <c r="P241" s="17">
        <f>YEAR(Tabela1[[#This Row],[Data_Admissão]])</f>
        <v>2025</v>
      </c>
      <c r="Q241" s="17" t="str">
        <f>IF(Tabela1[[#This Row],[Data_Desligamento]]="", "", YEAR(Tabela1[[#This Row],[Data_Desligamento]]))</f>
        <v/>
      </c>
      <c r="R241" s="17"/>
    </row>
    <row r="242" spans="1:18">
      <c r="A242" s="1">
        <v>241</v>
      </c>
      <c r="B242" s="1" t="s">
        <v>346</v>
      </c>
      <c r="C242" s="2">
        <v>37231</v>
      </c>
      <c r="D242" s="1" t="s">
        <v>19</v>
      </c>
      <c r="E242" s="1">
        <v>1235</v>
      </c>
      <c r="F242" s="1" t="s">
        <v>138</v>
      </c>
      <c r="G242" s="10">
        <v>13535</v>
      </c>
      <c r="H242" s="1" t="s">
        <v>139</v>
      </c>
      <c r="I242" s="2">
        <v>45979</v>
      </c>
      <c r="K242" s="1" t="s">
        <v>22</v>
      </c>
      <c r="L242" s="1" t="s">
        <v>22</v>
      </c>
      <c r="M242" s="14" t="str">
        <f>IF(Tabela1[[#This Row],[Data_Desligamento]]="","ATIVO","INATIVO")</f>
        <v>ATIVO</v>
      </c>
      <c r="N242" s="14" t="str">
        <f>TEXT(Tabela1[[#This Row],[Data_Admissão]],"mmm")</f>
        <v>nov</v>
      </c>
      <c r="O242" s="14" t="str">
        <f>TEXT(Tabela1[[#This Row],[Data_Desligamento]],"mmm")</f>
        <v>jan</v>
      </c>
      <c r="P242" s="17">
        <f>YEAR(Tabela1[[#This Row],[Data_Admissão]])</f>
        <v>2025</v>
      </c>
      <c r="Q242" s="17" t="str">
        <f>IF(Tabela1[[#This Row],[Data_Desligamento]]="", "", YEAR(Tabela1[[#This Row],[Data_Desligamento]]))</f>
        <v/>
      </c>
      <c r="R242" s="17"/>
    </row>
    <row r="243" spans="1:18">
      <c r="A243" s="1">
        <v>242</v>
      </c>
      <c r="B243" s="1" t="s">
        <v>347</v>
      </c>
      <c r="C243" s="2">
        <v>35480</v>
      </c>
      <c r="D243" s="1" t="s">
        <v>19</v>
      </c>
      <c r="E243" s="1">
        <v>1001</v>
      </c>
      <c r="F243" s="1" t="s">
        <v>44</v>
      </c>
      <c r="G243" s="10">
        <v>5041</v>
      </c>
      <c r="H243" s="1" t="s">
        <v>45</v>
      </c>
      <c r="I243" s="2">
        <v>45984</v>
      </c>
      <c r="K243" s="1" t="s">
        <v>125</v>
      </c>
      <c r="L243" s="1" t="s">
        <v>22</v>
      </c>
      <c r="M243" s="14" t="str">
        <f>IF(Tabela1[[#This Row],[Data_Desligamento]]="","ATIVO","INATIVO")</f>
        <v>ATIVO</v>
      </c>
      <c r="N243" s="14" t="str">
        <f>TEXT(Tabela1[[#This Row],[Data_Admissão]],"mmm")</f>
        <v>nov</v>
      </c>
      <c r="O243" s="14" t="str">
        <f>TEXT(Tabela1[[#This Row],[Data_Desligamento]],"mmm")</f>
        <v>jan</v>
      </c>
      <c r="P243" s="17">
        <f>YEAR(Tabela1[[#This Row],[Data_Admissão]])</f>
        <v>2025</v>
      </c>
      <c r="Q243" s="17" t="str">
        <f>IF(Tabela1[[#This Row],[Data_Desligamento]]="", "", YEAR(Tabela1[[#This Row],[Data_Desligamento]]))</f>
        <v/>
      </c>
      <c r="R243" s="17"/>
    </row>
    <row r="244" spans="1:18">
      <c r="A244" s="1">
        <v>243</v>
      </c>
      <c r="B244" s="1" t="s">
        <v>348</v>
      </c>
      <c r="C244" s="2">
        <v>31563</v>
      </c>
      <c r="D244" s="1" t="s">
        <v>19</v>
      </c>
      <c r="E244" s="1">
        <v>1312</v>
      </c>
      <c r="F244" s="1" t="s">
        <v>57</v>
      </c>
      <c r="G244" s="10">
        <v>6901</v>
      </c>
      <c r="H244" s="1" t="s">
        <v>34</v>
      </c>
      <c r="I244" s="2">
        <v>45988</v>
      </c>
      <c r="J244" s="2">
        <v>46299</v>
      </c>
      <c r="K244" s="1" t="s">
        <v>127</v>
      </c>
      <c r="L244" s="1" t="s">
        <v>111</v>
      </c>
      <c r="M244" s="14" t="str">
        <f>IF(Tabela1[[#This Row],[Data_Desligamento]]="","ATIVO","INATIVO")</f>
        <v>INATIVO</v>
      </c>
      <c r="N244" s="14" t="str">
        <f>TEXT(Tabela1[[#This Row],[Data_Admissão]],"mmm")</f>
        <v>nov</v>
      </c>
      <c r="O244" s="14" t="str">
        <f>TEXT(Tabela1[[#This Row],[Data_Desligamento]],"mmm")</f>
        <v>out</v>
      </c>
      <c r="P244" s="17">
        <f>YEAR(Tabela1[[#This Row],[Data_Admissão]])</f>
        <v>2025</v>
      </c>
      <c r="Q244" s="17">
        <f>IF(Tabela1[[#This Row],[Data_Desligamento]]="", "", YEAR(Tabela1[[#This Row],[Data_Desligamento]]))</f>
        <v>2026</v>
      </c>
      <c r="R244" s="17"/>
    </row>
    <row r="245" spans="1:18">
      <c r="A245" s="1">
        <v>244</v>
      </c>
      <c r="B245" s="1" t="s">
        <v>349</v>
      </c>
      <c r="C245" s="2">
        <v>37382</v>
      </c>
      <c r="D245" s="1" t="s">
        <v>19</v>
      </c>
      <c r="E245" s="1">
        <v>1225</v>
      </c>
      <c r="F245" s="1" t="s">
        <v>53</v>
      </c>
      <c r="G245" s="10">
        <v>3479</v>
      </c>
      <c r="H245" s="1" t="s">
        <v>54</v>
      </c>
      <c r="I245" s="2">
        <v>45993</v>
      </c>
      <c r="K245" s="1" t="s">
        <v>130</v>
      </c>
      <c r="L245" s="1" t="s">
        <v>22</v>
      </c>
      <c r="M245" s="14" t="str">
        <f>IF(Tabela1[[#This Row],[Data_Desligamento]]="","ATIVO","INATIVO")</f>
        <v>ATIVO</v>
      </c>
      <c r="N245" s="14" t="str">
        <f>TEXT(Tabela1[[#This Row],[Data_Admissão]],"mmm")</f>
        <v>dez</v>
      </c>
      <c r="O245" s="14" t="str">
        <f>TEXT(Tabela1[[#This Row],[Data_Desligamento]],"mmm")</f>
        <v>jan</v>
      </c>
      <c r="P245" s="17">
        <f>YEAR(Tabela1[[#This Row],[Data_Admissão]])</f>
        <v>2025</v>
      </c>
      <c r="Q245" s="17" t="str">
        <f>IF(Tabela1[[#This Row],[Data_Desligamento]]="", "", YEAR(Tabela1[[#This Row],[Data_Desligamento]]))</f>
        <v/>
      </c>
      <c r="R245" s="17"/>
    </row>
    <row r="246" spans="1:18">
      <c r="A246" s="1">
        <v>245</v>
      </c>
      <c r="B246" s="1" t="s">
        <v>350</v>
      </c>
      <c r="C246" s="2">
        <v>35033</v>
      </c>
      <c r="D246" s="1" t="s">
        <v>19</v>
      </c>
      <c r="E246" s="1">
        <v>1193</v>
      </c>
      <c r="F246" s="1" t="s">
        <v>33</v>
      </c>
      <c r="G246" s="10">
        <v>5240</v>
      </c>
      <c r="H246" s="1" t="s">
        <v>34</v>
      </c>
      <c r="I246" s="2">
        <v>45993</v>
      </c>
      <c r="K246" s="1" t="s">
        <v>133</v>
      </c>
      <c r="L246" s="1" t="s">
        <v>22</v>
      </c>
      <c r="M246" s="14" t="str">
        <f>IF(Tabela1[[#This Row],[Data_Desligamento]]="","ATIVO","INATIVO")</f>
        <v>ATIVO</v>
      </c>
      <c r="N246" s="14" t="str">
        <f>TEXT(Tabela1[[#This Row],[Data_Admissão]],"mmm")</f>
        <v>dez</v>
      </c>
      <c r="O246" s="14" t="str">
        <f>TEXT(Tabela1[[#This Row],[Data_Desligamento]],"mmm")</f>
        <v>jan</v>
      </c>
      <c r="P246" s="17">
        <f>YEAR(Tabela1[[#This Row],[Data_Admissão]])</f>
        <v>2025</v>
      </c>
      <c r="Q246" s="17" t="str">
        <f>IF(Tabela1[[#This Row],[Data_Desligamento]]="", "", YEAR(Tabela1[[#This Row],[Data_Desligamento]]))</f>
        <v/>
      </c>
      <c r="R246" s="17"/>
    </row>
    <row r="247" spans="1:18">
      <c r="A247" s="1">
        <v>246</v>
      </c>
      <c r="B247" s="1" t="s">
        <v>351</v>
      </c>
      <c r="C247" s="2">
        <v>36782</v>
      </c>
      <c r="D247" s="1" t="s">
        <v>19</v>
      </c>
      <c r="E247" s="1">
        <v>1216</v>
      </c>
      <c r="F247" s="1" t="s">
        <v>33</v>
      </c>
      <c r="G247" s="10">
        <v>4977</v>
      </c>
      <c r="H247" s="1" t="s">
        <v>34</v>
      </c>
      <c r="I247" s="2">
        <v>45994</v>
      </c>
      <c r="K247" s="1" t="s">
        <v>22</v>
      </c>
      <c r="L247" s="1" t="s">
        <v>22</v>
      </c>
      <c r="M247" s="14" t="str">
        <f>IF(Tabela1[[#This Row],[Data_Desligamento]]="","ATIVO","INATIVO")</f>
        <v>ATIVO</v>
      </c>
      <c r="N247" s="14" t="str">
        <f>TEXT(Tabela1[[#This Row],[Data_Admissão]],"mmm")</f>
        <v>dez</v>
      </c>
      <c r="O247" s="14" t="str">
        <f>TEXT(Tabela1[[#This Row],[Data_Desligamento]],"mmm")</f>
        <v>jan</v>
      </c>
      <c r="P247" s="17">
        <f>YEAR(Tabela1[[#This Row],[Data_Admissão]])</f>
        <v>2025</v>
      </c>
      <c r="Q247" s="17" t="str">
        <f>IF(Tabela1[[#This Row],[Data_Desligamento]]="", "", YEAR(Tabela1[[#This Row],[Data_Desligamento]]))</f>
        <v/>
      </c>
      <c r="R247" s="17"/>
    </row>
    <row r="248" spans="1:18">
      <c r="A248" s="1">
        <v>247</v>
      </c>
      <c r="B248" s="1" t="s">
        <v>335</v>
      </c>
      <c r="C248" s="2">
        <v>29984</v>
      </c>
      <c r="D248" s="1" t="s">
        <v>19</v>
      </c>
      <c r="E248" s="1">
        <v>1289</v>
      </c>
      <c r="F248" s="1" t="s">
        <v>44</v>
      </c>
      <c r="G248" s="10">
        <v>7354</v>
      </c>
      <c r="H248" s="1" t="s">
        <v>45</v>
      </c>
      <c r="I248" s="2">
        <v>45995</v>
      </c>
      <c r="K248" s="1" t="s">
        <v>135</v>
      </c>
      <c r="L248" s="1" t="s">
        <v>22</v>
      </c>
      <c r="M248" s="14" t="str">
        <f>IF(Tabela1[[#This Row],[Data_Desligamento]]="","ATIVO","INATIVO")</f>
        <v>ATIVO</v>
      </c>
      <c r="N248" s="14" t="str">
        <f>TEXT(Tabela1[[#This Row],[Data_Admissão]],"mmm")</f>
        <v>dez</v>
      </c>
      <c r="O248" s="14" t="str">
        <f>TEXT(Tabela1[[#This Row],[Data_Desligamento]],"mmm")</f>
        <v>jan</v>
      </c>
      <c r="P248" s="17">
        <f>YEAR(Tabela1[[#This Row],[Data_Admissão]])</f>
        <v>2025</v>
      </c>
      <c r="Q248" s="17" t="str">
        <f>IF(Tabela1[[#This Row],[Data_Desligamento]]="", "", YEAR(Tabela1[[#This Row],[Data_Desligamento]]))</f>
        <v/>
      </c>
      <c r="R248" s="17"/>
    </row>
    <row r="249" spans="1:18">
      <c r="A249" s="1">
        <v>248</v>
      </c>
      <c r="B249" s="1" t="s">
        <v>34</v>
      </c>
      <c r="C249" s="2">
        <v>35029</v>
      </c>
      <c r="D249" s="1" t="s">
        <v>19</v>
      </c>
      <c r="E249" s="1">
        <v>1102</v>
      </c>
      <c r="F249" s="1" t="s">
        <v>68</v>
      </c>
      <c r="G249" s="10">
        <v>2568</v>
      </c>
      <c r="H249" s="1" t="s">
        <v>54</v>
      </c>
      <c r="I249" s="2">
        <v>45997</v>
      </c>
      <c r="K249" s="1" t="s">
        <v>22</v>
      </c>
      <c r="L249" s="1" t="s">
        <v>22</v>
      </c>
      <c r="M249" s="14" t="str">
        <f>IF(Tabela1[[#This Row],[Data_Desligamento]]="","ATIVO","INATIVO")</f>
        <v>ATIVO</v>
      </c>
      <c r="N249" s="14" t="str">
        <f>TEXT(Tabela1[[#This Row],[Data_Admissão]],"mmm")</f>
        <v>dez</v>
      </c>
      <c r="O249" s="14" t="str">
        <f>TEXT(Tabela1[[#This Row],[Data_Desligamento]],"mmm")</f>
        <v>jan</v>
      </c>
      <c r="P249" s="17">
        <f>YEAR(Tabela1[[#This Row],[Data_Admissão]])</f>
        <v>2025</v>
      </c>
      <c r="Q249" s="17" t="str">
        <f>IF(Tabela1[[#This Row],[Data_Desligamento]]="", "", YEAR(Tabela1[[#This Row],[Data_Desligamento]]))</f>
        <v/>
      </c>
      <c r="R249" s="17"/>
    </row>
    <row r="250" spans="1:18">
      <c r="A250" s="1">
        <v>249</v>
      </c>
      <c r="B250" s="1" t="s">
        <v>352</v>
      </c>
      <c r="C250" s="2">
        <v>29182</v>
      </c>
      <c r="D250" s="1" t="s">
        <v>19</v>
      </c>
      <c r="E250" s="1">
        <v>1297</v>
      </c>
      <c r="F250" s="1" t="s">
        <v>33</v>
      </c>
      <c r="G250" s="10">
        <v>4985</v>
      </c>
      <c r="H250" s="1" t="s">
        <v>34</v>
      </c>
      <c r="I250" s="2">
        <v>46004</v>
      </c>
      <c r="K250" s="1" t="s">
        <v>140</v>
      </c>
      <c r="L250" s="1" t="s">
        <v>22</v>
      </c>
      <c r="M250" s="14" t="str">
        <f>IF(Tabela1[[#This Row],[Data_Desligamento]]="","ATIVO","INATIVO")</f>
        <v>ATIVO</v>
      </c>
      <c r="N250" s="14" t="str">
        <f>TEXT(Tabela1[[#This Row],[Data_Admissão]],"mmm")</f>
        <v>dez</v>
      </c>
      <c r="O250" s="14" t="str">
        <f>TEXT(Tabela1[[#This Row],[Data_Desligamento]],"mmm")</f>
        <v>jan</v>
      </c>
      <c r="P250" s="17">
        <f>YEAR(Tabela1[[#This Row],[Data_Admissão]])</f>
        <v>2025</v>
      </c>
      <c r="Q250" s="17" t="str">
        <f>IF(Tabela1[[#This Row],[Data_Desligamento]]="", "", YEAR(Tabela1[[#This Row],[Data_Desligamento]]))</f>
        <v/>
      </c>
      <c r="R250" s="17"/>
    </row>
    <row r="251" spans="1:18">
      <c r="A251" s="1">
        <v>250</v>
      </c>
      <c r="B251" s="1" t="s">
        <v>353</v>
      </c>
      <c r="C251" s="2">
        <v>27215</v>
      </c>
      <c r="D251" s="1" t="s">
        <v>19</v>
      </c>
      <c r="E251" s="1">
        <v>1095</v>
      </c>
      <c r="F251" s="1" t="s">
        <v>30</v>
      </c>
      <c r="G251" s="10">
        <v>5474</v>
      </c>
      <c r="H251" s="1" t="s">
        <v>31</v>
      </c>
      <c r="I251" s="2">
        <v>46005</v>
      </c>
      <c r="J251" s="2">
        <v>46349</v>
      </c>
      <c r="K251" s="1" t="s">
        <v>142</v>
      </c>
      <c r="L251" s="1" t="s">
        <v>121</v>
      </c>
      <c r="M251" s="14" t="str">
        <f>IF(Tabela1[[#This Row],[Data_Desligamento]]="","ATIVO","INATIVO")</f>
        <v>INATIVO</v>
      </c>
      <c r="N251" s="14" t="str">
        <f>TEXT(Tabela1[[#This Row],[Data_Admissão]],"mmm")</f>
        <v>dez</v>
      </c>
      <c r="O251" s="14" t="str">
        <f>TEXT(Tabela1[[#This Row],[Data_Desligamento]],"mmm")</f>
        <v>nov</v>
      </c>
      <c r="P251" s="17">
        <f>YEAR(Tabela1[[#This Row],[Data_Admissão]])</f>
        <v>2025</v>
      </c>
      <c r="Q251" s="17">
        <f>IF(Tabela1[[#This Row],[Data_Desligamento]]="", "", YEAR(Tabela1[[#This Row],[Data_Desligamento]]))</f>
        <v>2026</v>
      </c>
      <c r="R251" s="17"/>
    </row>
    <row r="252" spans="1:18">
      <c r="A252" s="1">
        <v>251</v>
      </c>
      <c r="B252" s="1" t="s">
        <v>354</v>
      </c>
      <c r="C252" s="2">
        <v>30879</v>
      </c>
      <c r="D252" s="1" t="s">
        <v>19</v>
      </c>
      <c r="E252" s="1">
        <v>1253</v>
      </c>
      <c r="F252" s="1" t="s">
        <v>44</v>
      </c>
      <c r="G252" s="10">
        <v>6473</v>
      </c>
      <c r="H252" s="1" t="s">
        <v>45</v>
      </c>
      <c r="I252" s="2">
        <v>46007</v>
      </c>
      <c r="K252" s="1" t="s">
        <v>22</v>
      </c>
      <c r="L252" s="1" t="s">
        <v>22</v>
      </c>
      <c r="M252" s="14" t="str">
        <f>IF(Tabela1[[#This Row],[Data_Desligamento]]="","ATIVO","INATIVO")</f>
        <v>ATIVO</v>
      </c>
      <c r="N252" s="14" t="str">
        <f>TEXT(Tabela1[[#This Row],[Data_Admissão]],"mmm")</f>
        <v>dez</v>
      </c>
      <c r="O252" s="14" t="str">
        <f>TEXT(Tabela1[[#This Row],[Data_Desligamento]],"mmm")</f>
        <v>jan</v>
      </c>
      <c r="P252" s="17">
        <f>YEAR(Tabela1[[#This Row],[Data_Admissão]])</f>
        <v>2025</v>
      </c>
      <c r="Q252" s="17" t="str">
        <f>IF(Tabela1[[#This Row],[Data_Desligamento]]="", "", YEAR(Tabela1[[#This Row],[Data_Desligamento]]))</f>
        <v/>
      </c>
      <c r="R252" s="17"/>
    </row>
    <row r="253" spans="1:18">
      <c r="A253" s="1">
        <v>252</v>
      </c>
      <c r="B253" s="1" t="s">
        <v>355</v>
      </c>
      <c r="C253" s="2">
        <v>33100</v>
      </c>
      <c r="D253" s="1" t="s">
        <v>19</v>
      </c>
      <c r="E253" s="1">
        <v>1131</v>
      </c>
      <c r="F253" s="1" t="s">
        <v>63</v>
      </c>
      <c r="G253" s="10">
        <v>9402</v>
      </c>
      <c r="H253" s="1" t="s">
        <v>21</v>
      </c>
      <c r="I253" s="2">
        <v>46007</v>
      </c>
      <c r="K253" s="1" t="s">
        <v>22</v>
      </c>
      <c r="L253" s="1" t="s">
        <v>22</v>
      </c>
      <c r="M253" s="14" t="str">
        <f>IF(Tabela1[[#This Row],[Data_Desligamento]]="","ATIVO","INATIVO")</f>
        <v>ATIVO</v>
      </c>
      <c r="N253" s="14" t="str">
        <f>TEXT(Tabela1[[#This Row],[Data_Admissão]],"mmm")</f>
        <v>dez</v>
      </c>
      <c r="O253" s="14" t="str">
        <f>TEXT(Tabela1[[#This Row],[Data_Desligamento]],"mmm")</f>
        <v>jan</v>
      </c>
      <c r="P253" s="17">
        <f>YEAR(Tabela1[[#This Row],[Data_Admissão]])</f>
        <v>2025</v>
      </c>
      <c r="Q253" s="17" t="str">
        <f>IF(Tabela1[[#This Row],[Data_Desligamento]]="", "", YEAR(Tabela1[[#This Row],[Data_Desligamento]]))</f>
        <v/>
      </c>
      <c r="R253" s="17"/>
    </row>
    <row r="254" spans="1:18">
      <c r="A254" s="1">
        <v>253</v>
      </c>
      <c r="B254" s="1" t="s">
        <v>356</v>
      </c>
      <c r="C254" s="2">
        <v>30619</v>
      </c>
      <c r="D254" s="1" t="s">
        <v>19</v>
      </c>
      <c r="E254" s="1">
        <v>1141</v>
      </c>
      <c r="F254" s="1" t="s">
        <v>63</v>
      </c>
      <c r="G254" s="10">
        <v>7337</v>
      </c>
      <c r="H254" s="1" t="s">
        <v>21</v>
      </c>
      <c r="I254" s="2">
        <v>46014</v>
      </c>
      <c r="J254" s="2">
        <v>46313</v>
      </c>
      <c r="K254" s="1" t="s">
        <v>146</v>
      </c>
      <c r="L254" s="1" t="s">
        <v>144</v>
      </c>
      <c r="M254" s="14" t="str">
        <f>IF(Tabela1[[#This Row],[Data_Desligamento]]="","ATIVO","INATIVO")</f>
        <v>INATIVO</v>
      </c>
      <c r="N254" s="14" t="str">
        <f>TEXT(Tabela1[[#This Row],[Data_Admissão]],"mmm")</f>
        <v>dez</v>
      </c>
      <c r="O254" s="14" t="str">
        <f>TEXT(Tabela1[[#This Row],[Data_Desligamento]],"mmm")</f>
        <v>out</v>
      </c>
      <c r="P254" s="17">
        <f>YEAR(Tabela1[[#This Row],[Data_Admissão]])</f>
        <v>2025</v>
      </c>
      <c r="Q254" s="17">
        <f>IF(Tabela1[[#This Row],[Data_Desligamento]]="", "", YEAR(Tabela1[[#This Row],[Data_Desligamento]]))</f>
        <v>2026</v>
      </c>
      <c r="R254" s="17"/>
    </row>
    <row r="255" spans="1:18">
      <c r="A255" s="1">
        <v>254</v>
      </c>
      <c r="B255" s="1" t="s">
        <v>357</v>
      </c>
      <c r="C255" s="2">
        <v>28372</v>
      </c>
      <c r="D255" s="1" t="s">
        <v>19</v>
      </c>
      <c r="E255" s="1">
        <v>1059</v>
      </c>
      <c r="F255" s="1" t="s">
        <v>38</v>
      </c>
      <c r="G255" s="10">
        <v>11677</v>
      </c>
      <c r="H255" s="1" t="s">
        <v>39</v>
      </c>
      <c r="I255" s="2">
        <v>46015</v>
      </c>
      <c r="K255" s="1" t="s">
        <v>148</v>
      </c>
      <c r="L255" s="1" t="s">
        <v>22</v>
      </c>
      <c r="M255" s="14" t="str">
        <f>IF(Tabela1[[#This Row],[Data_Desligamento]]="","ATIVO","INATIVO")</f>
        <v>ATIVO</v>
      </c>
      <c r="N255" s="14" t="str">
        <f>TEXT(Tabela1[[#This Row],[Data_Admissão]],"mmm")</f>
        <v>dez</v>
      </c>
      <c r="O255" s="14" t="str">
        <f>TEXT(Tabela1[[#This Row],[Data_Desligamento]],"mmm")</f>
        <v>jan</v>
      </c>
      <c r="P255" s="17">
        <f>YEAR(Tabela1[[#This Row],[Data_Admissão]])</f>
        <v>2025</v>
      </c>
      <c r="Q255" s="17" t="str">
        <f>IF(Tabela1[[#This Row],[Data_Desligamento]]="", "", YEAR(Tabela1[[#This Row],[Data_Desligamento]]))</f>
        <v/>
      </c>
      <c r="R255" s="17"/>
    </row>
    <row r="256" spans="1:18">
      <c r="A256" s="1">
        <v>255</v>
      </c>
      <c r="B256" s="1" t="s">
        <v>358</v>
      </c>
      <c r="C256" s="2">
        <v>34466</v>
      </c>
      <c r="D256" s="1" t="s">
        <v>19</v>
      </c>
      <c r="E256" s="1">
        <v>1159</v>
      </c>
      <c r="F256" s="1" t="s">
        <v>53</v>
      </c>
      <c r="G256" s="10">
        <v>2982</v>
      </c>
      <c r="H256" s="1" t="s">
        <v>54</v>
      </c>
      <c r="I256" s="2">
        <v>46015</v>
      </c>
      <c r="K256" s="1" t="s">
        <v>22</v>
      </c>
      <c r="L256" s="1" t="s">
        <v>22</v>
      </c>
      <c r="M256" s="14" t="str">
        <f>IF(Tabela1[[#This Row],[Data_Desligamento]]="","ATIVO","INATIVO")</f>
        <v>ATIVO</v>
      </c>
      <c r="N256" s="14" t="str">
        <f>TEXT(Tabela1[[#This Row],[Data_Admissão]],"mmm")</f>
        <v>dez</v>
      </c>
      <c r="O256" s="14" t="str">
        <f>TEXT(Tabela1[[#This Row],[Data_Desligamento]],"mmm")</f>
        <v>jan</v>
      </c>
      <c r="P256" s="17">
        <f>YEAR(Tabela1[[#This Row],[Data_Admissão]])</f>
        <v>2025</v>
      </c>
      <c r="Q256" s="17" t="str">
        <f>IF(Tabela1[[#This Row],[Data_Desligamento]]="", "", YEAR(Tabela1[[#This Row],[Data_Desligamento]]))</f>
        <v/>
      </c>
      <c r="R256" s="17"/>
    </row>
    <row r="257" spans="1:18">
      <c r="A257" s="1">
        <v>256</v>
      </c>
      <c r="B257" s="1" t="s">
        <v>359</v>
      </c>
      <c r="C257" s="2">
        <v>35488</v>
      </c>
      <c r="D257" s="1" t="s">
        <v>19</v>
      </c>
      <c r="E257" s="1">
        <v>1111</v>
      </c>
      <c r="F257" s="1" t="s">
        <v>89</v>
      </c>
      <c r="G257" s="10">
        <v>3746</v>
      </c>
      <c r="H257" s="1" t="s">
        <v>77</v>
      </c>
      <c r="I257" s="2">
        <v>46016</v>
      </c>
      <c r="K257" s="1" t="s">
        <v>22</v>
      </c>
      <c r="L257" s="1" t="s">
        <v>22</v>
      </c>
      <c r="M257" s="14" t="str">
        <f>IF(Tabela1[[#This Row],[Data_Desligamento]]="","ATIVO","INATIVO")</f>
        <v>ATIVO</v>
      </c>
      <c r="N257" s="14" t="str">
        <f>TEXT(Tabela1[[#This Row],[Data_Admissão]],"mmm")</f>
        <v>dez</v>
      </c>
      <c r="O257" s="14" t="str">
        <f>TEXT(Tabela1[[#This Row],[Data_Desligamento]],"mmm")</f>
        <v>jan</v>
      </c>
      <c r="P257" s="17">
        <f>YEAR(Tabela1[[#This Row],[Data_Admissão]])</f>
        <v>2025</v>
      </c>
      <c r="Q257" s="17" t="str">
        <f>IF(Tabela1[[#This Row],[Data_Desligamento]]="", "", YEAR(Tabela1[[#This Row],[Data_Desligamento]]))</f>
        <v/>
      </c>
      <c r="R257" s="17"/>
    </row>
    <row r="258" spans="1:18">
      <c r="A258" s="1">
        <v>257</v>
      </c>
      <c r="B258" s="1" t="s">
        <v>282</v>
      </c>
      <c r="C258" s="2">
        <v>34386</v>
      </c>
      <c r="D258" s="1" t="s">
        <v>19</v>
      </c>
      <c r="E258" s="1">
        <v>1246</v>
      </c>
      <c r="F258" s="1" t="s">
        <v>48</v>
      </c>
      <c r="G258" s="10">
        <v>5226</v>
      </c>
      <c r="H258" s="1" t="s">
        <v>26</v>
      </c>
      <c r="I258" s="2">
        <v>46016</v>
      </c>
      <c r="K258" s="1" t="s">
        <v>22</v>
      </c>
      <c r="L258" s="1" t="s">
        <v>22</v>
      </c>
      <c r="M258" s="14" t="str">
        <f>IF(Tabela1[[#This Row],[Data_Desligamento]]="","ATIVO","INATIVO")</f>
        <v>ATIVO</v>
      </c>
      <c r="N258" s="14" t="str">
        <f>TEXT(Tabela1[[#This Row],[Data_Admissão]],"mmm")</f>
        <v>dez</v>
      </c>
      <c r="O258" s="14" t="str">
        <f>TEXT(Tabela1[[#This Row],[Data_Desligamento]],"mmm")</f>
        <v>jan</v>
      </c>
      <c r="P258" s="17">
        <f>YEAR(Tabela1[[#This Row],[Data_Admissão]])</f>
        <v>2025</v>
      </c>
      <c r="Q258" s="17" t="str">
        <f>IF(Tabela1[[#This Row],[Data_Desligamento]]="", "", YEAR(Tabela1[[#This Row],[Data_Desligamento]]))</f>
        <v/>
      </c>
      <c r="R258" s="17"/>
    </row>
    <row r="259" spans="1:18">
      <c r="A259" s="1">
        <v>258</v>
      </c>
      <c r="B259" s="1" t="s">
        <v>360</v>
      </c>
      <c r="C259" s="2">
        <v>36543</v>
      </c>
      <c r="D259" s="1" t="s">
        <v>19</v>
      </c>
      <c r="E259" s="1">
        <v>1118</v>
      </c>
      <c r="F259" s="1" t="s">
        <v>33</v>
      </c>
      <c r="G259" s="10">
        <v>3415</v>
      </c>
      <c r="H259" s="1" t="s">
        <v>34</v>
      </c>
      <c r="I259" s="2">
        <v>46024</v>
      </c>
      <c r="J259" s="2">
        <v>46080</v>
      </c>
      <c r="K259" s="1" t="s">
        <v>151</v>
      </c>
      <c r="L259" s="1" t="s">
        <v>149</v>
      </c>
      <c r="M259" s="14" t="str">
        <f>IF(Tabela1[[#This Row],[Data_Desligamento]]="","ATIVO","INATIVO")</f>
        <v>INATIVO</v>
      </c>
      <c r="N259" s="14" t="str">
        <f>TEXT(Tabela1[[#This Row],[Data_Admissão]],"mmm")</f>
        <v>jan</v>
      </c>
      <c r="O259" s="14" t="str">
        <f>TEXT(Tabela1[[#This Row],[Data_Desligamento]],"mmm")</f>
        <v>fev</v>
      </c>
      <c r="P259" s="17">
        <f>YEAR(Tabela1[[#This Row],[Data_Admissão]])</f>
        <v>2026</v>
      </c>
      <c r="Q259" s="17">
        <f>IF(Tabela1[[#This Row],[Data_Desligamento]]="", "", YEAR(Tabela1[[#This Row],[Data_Desligamento]]))</f>
        <v>2026</v>
      </c>
      <c r="R259" s="17"/>
    </row>
    <row r="260" spans="1:18">
      <c r="A260" s="1">
        <v>259</v>
      </c>
      <c r="B260" s="1" t="s">
        <v>361</v>
      </c>
      <c r="C260" s="2">
        <v>37350</v>
      </c>
      <c r="D260" s="1" t="s">
        <v>19</v>
      </c>
      <c r="E260" s="1">
        <v>1265</v>
      </c>
      <c r="F260" s="1" t="s">
        <v>57</v>
      </c>
      <c r="G260" s="10">
        <v>6872</v>
      </c>
      <c r="H260" s="1" t="s">
        <v>34</v>
      </c>
      <c r="I260" s="2">
        <v>46027</v>
      </c>
      <c r="K260" s="1" t="s">
        <v>155</v>
      </c>
      <c r="L260" s="1" t="s">
        <v>22</v>
      </c>
      <c r="M260" s="14" t="str">
        <f>IF(Tabela1[[#This Row],[Data_Desligamento]]="","ATIVO","INATIVO")</f>
        <v>ATIVO</v>
      </c>
      <c r="N260" s="14" t="str">
        <f>TEXT(Tabela1[[#This Row],[Data_Admissão]],"mmm")</f>
        <v>jan</v>
      </c>
      <c r="O260" s="14" t="str">
        <f>TEXT(Tabela1[[#This Row],[Data_Desligamento]],"mmm")</f>
        <v>jan</v>
      </c>
      <c r="P260" s="17">
        <f>YEAR(Tabela1[[#This Row],[Data_Admissão]])</f>
        <v>2026</v>
      </c>
      <c r="Q260" s="17" t="str">
        <f>IF(Tabela1[[#This Row],[Data_Desligamento]]="", "", YEAR(Tabela1[[#This Row],[Data_Desligamento]]))</f>
        <v/>
      </c>
      <c r="R260" s="17"/>
    </row>
    <row r="261" spans="1:18">
      <c r="A261" s="1">
        <v>260</v>
      </c>
      <c r="B261" s="1" t="s">
        <v>362</v>
      </c>
      <c r="C261" s="2">
        <v>35960</v>
      </c>
      <c r="D261" s="1" t="s">
        <v>19</v>
      </c>
      <c r="E261" s="1">
        <v>1258</v>
      </c>
      <c r="F261" s="1" t="s">
        <v>53</v>
      </c>
      <c r="G261" s="10">
        <v>4201</v>
      </c>
      <c r="H261" s="1" t="s">
        <v>54</v>
      </c>
      <c r="I261" s="2">
        <v>46028</v>
      </c>
      <c r="K261" s="1" t="s">
        <v>22</v>
      </c>
      <c r="L261" s="1" t="s">
        <v>22</v>
      </c>
      <c r="M261" s="14" t="str">
        <f>IF(Tabela1[[#This Row],[Data_Desligamento]]="","ATIVO","INATIVO")</f>
        <v>ATIVO</v>
      </c>
      <c r="N261" s="14" t="str">
        <f>TEXT(Tabela1[[#This Row],[Data_Admissão]],"mmm")</f>
        <v>jan</v>
      </c>
      <c r="O261" s="14" t="str">
        <f>TEXT(Tabela1[[#This Row],[Data_Desligamento]],"mmm")</f>
        <v>jan</v>
      </c>
      <c r="P261" s="17">
        <f>YEAR(Tabela1[[#This Row],[Data_Admissão]])</f>
        <v>2026</v>
      </c>
      <c r="Q261" s="17" t="str">
        <f>IF(Tabela1[[#This Row],[Data_Desligamento]]="", "", YEAR(Tabela1[[#This Row],[Data_Desligamento]]))</f>
        <v/>
      </c>
      <c r="R261" s="17"/>
    </row>
    <row r="262" spans="1:18">
      <c r="A262" s="1">
        <v>261</v>
      </c>
      <c r="B262" s="1" t="s">
        <v>363</v>
      </c>
      <c r="C262" s="2">
        <v>30281</v>
      </c>
      <c r="D262" s="1" t="s">
        <v>19</v>
      </c>
      <c r="E262" s="1">
        <v>1194</v>
      </c>
      <c r="F262" s="1" t="s">
        <v>89</v>
      </c>
      <c r="G262" s="10">
        <v>2905</v>
      </c>
      <c r="H262" s="1" t="s">
        <v>77</v>
      </c>
      <c r="I262" s="2">
        <v>46029</v>
      </c>
      <c r="K262" s="1" t="s">
        <v>22</v>
      </c>
      <c r="L262" s="1" t="s">
        <v>22</v>
      </c>
      <c r="M262" s="14" t="str">
        <f>IF(Tabela1[[#This Row],[Data_Desligamento]]="","ATIVO","INATIVO")</f>
        <v>ATIVO</v>
      </c>
      <c r="N262" s="14" t="str">
        <f>TEXT(Tabela1[[#This Row],[Data_Admissão]],"mmm")</f>
        <v>jan</v>
      </c>
      <c r="O262" s="14" t="str">
        <f>TEXT(Tabela1[[#This Row],[Data_Desligamento]],"mmm")</f>
        <v>jan</v>
      </c>
      <c r="P262" s="17">
        <f>YEAR(Tabela1[[#This Row],[Data_Admissão]])</f>
        <v>2026</v>
      </c>
      <c r="Q262" s="17" t="str">
        <f>IF(Tabela1[[#This Row],[Data_Desligamento]]="", "", YEAR(Tabela1[[#This Row],[Data_Desligamento]]))</f>
        <v/>
      </c>
      <c r="R262" s="17"/>
    </row>
    <row r="263" spans="1:18">
      <c r="A263" s="1">
        <v>262</v>
      </c>
      <c r="B263" s="1" t="s">
        <v>364</v>
      </c>
      <c r="C263" s="2">
        <v>31195</v>
      </c>
      <c r="D263" s="1" t="s">
        <v>19</v>
      </c>
      <c r="E263" s="1">
        <v>1174</v>
      </c>
      <c r="F263" s="1" t="s">
        <v>89</v>
      </c>
      <c r="G263" s="10">
        <v>3323</v>
      </c>
      <c r="H263" s="1" t="s">
        <v>77</v>
      </c>
      <c r="I263" s="2">
        <v>46030</v>
      </c>
      <c r="J263" s="2">
        <v>46046</v>
      </c>
      <c r="K263" s="1" t="s">
        <v>157</v>
      </c>
      <c r="L263" s="1" t="s">
        <v>152</v>
      </c>
      <c r="M263" s="14" t="str">
        <f>IF(Tabela1[[#This Row],[Data_Desligamento]]="","ATIVO","INATIVO")</f>
        <v>INATIVO</v>
      </c>
      <c r="N263" s="14" t="str">
        <f>TEXT(Tabela1[[#This Row],[Data_Admissão]],"mmm")</f>
        <v>jan</v>
      </c>
      <c r="O263" s="14" t="str">
        <f>TEXT(Tabela1[[#This Row],[Data_Desligamento]],"mmm")</f>
        <v>jan</v>
      </c>
      <c r="P263" s="17">
        <f>YEAR(Tabela1[[#This Row],[Data_Admissão]])</f>
        <v>2026</v>
      </c>
      <c r="Q263" s="17">
        <f>IF(Tabela1[[#This Row],[Data_Desligamento]]="", "", YEAR(Tabela1[[#This Row],[Data_Desligamento]]))</f>
        <v>2026</v>
      </c>
      <c r="R263" s="17"/>
    </row>
    <row r="264" spans="1:18">
      <c r="A264" s="1">
        <v>263</v>
      </c>
      <c r="B264" s="1" t="s">
        <v>365</v>
      </c>
      <c r="C264" s="2">
        <v>32062</v>
      </c>
      <c r="D264" s="1" t="s">
        <v>19</v>
      </c>
      <c r="E264" s="1">
        <v>1214</v>
      </c>
      <c r="F264" s="1" t="s">
        <v>53</v>
      </c>
      <c r="G264" s="10">
        <v>3958</v>
      </c>
      <c r="H264" s="1" t="s">
        <v>54</v>
      </c>
      <c r="I264" s="2">
        <v>46034</v>
      </c>
      <c r="K264" s="1" t="s">
        <v>22</v>
      </c>
      <c r="L264" s="1" t="s">
        <v>22</v>
      </c>
      <c r="M264" s="14" t="str">
        <f>IF(Tabela1[[#This Row],[Data_Desligamento]]="","ATIVO","INATIVO")</f>
        <v>ATIVO</v>
      </c>
      <c r="N264" s="14" t="str">
        <f>TEXT(Tabela1[[#This Row],[Data_Admissão]],"mmm")</f>
        <v>jan</v>
      </c>
      <c r="O264" s="14" t="str">
        <f>TEXT(Tabela1[[#This Row],[Data_Desligamento]],"mmm")</f>
        <v>jan</v>
      </c>
      <c r="P264" s="17">
        <f>YEAR(Tabela1[[#This Row],[Data_Admissão]])</f>
        <v>2026</v>
      </c>
      <c r="Q264" s="17" t="str">
        <f>IF(Tabela1[[#This Row],[Data_Desligamento]]="", "", YEAR(Tabela1[[#This Row],[Data_Desligamento]]))</f>
        <v/>
      </c>
      <c r="R264" s="17"/>
    </row>
    <row r="265" spans="1:18">
      <c r="A265" s="1">
        <v>264</v>
      </c>
      <c r="B265" s="1" t="s">
        <v>366</v>
      </c>
      <c r="C265" s="2">
        <v>36579</v>
      </c>
      <c r="D265" s="1" t="s">
        <v>19</v>
      </c>
      <c r="E265" s="1">
        <v>1298</v>
      </c>
      <c r="F265" s="1" t="s">
        <v>25</v>
      </c>
      <c r="G265" s="10">
        <v>3602</v>
      </c>
      <c r="H265" s="1" t="s">
        <v>26</v>
      </c>
      <c r="I265" s="2">
        <v>46034</v>
      </c>
      <c r="K265" s="1" t="s">
        <v>161</v>
      </c>
      <c r="L265" s="1" t="s">
        <v>22</v>
      </c>
      <c r="M265" s="14" t="str">
        <f>IF(Tabela1[[#This Row],[Data_Desligamento]]="","ATIVO","INATIVO")</f>
        <v>ATIVO</v>
      </c>
      <c r="N265" s="14" t="str">
        <f>TEXT(Tabela1[[#This Row],[Data_Admissão]],"mmm")</f>
        <v>jan</v>
      </c>
      <c r="O265" s="14" t="str">
        <f>TEXT(Tabela1[[#This Row],[Data_Desligamento]],"mmm")</f>
        <v>jan</v>
      </c>
      <c r="P265" s="17">
        <f>YEAR(Tabela1[[#This Row],[Data_Admissão]])</f>
        <v>2026</v>
      </c>
      <c r="Q265" s="17" t="str">
        <f>IF(Tabela1[[#This Row],[Data_Desligamento]]="", "", YEAR(Tabela1[[#This Row],[Data_Desligamento]]))</f>
        <v/>
      </c>
      <c r="R265" s="17"/>
    </row>
    <row r="266" spans="1:18">
      <c r="A266" s="1">
        <v>265</v>
      </c>
      <c r="B266" s="1" t="s">
        <v>367</v>
      </c>
      <c r="C266" s="2">
        <v>36294</v>
      </c>
      <c r="D266" s="1" t="s">
        <v>19</v>
      </c>
      <c r="E266" s="1">
        <v>1136</v>
      </c>
      <c r="F266" s="1" t="s">
        <v>63</v>
      </c>
      <c r="G266" s="10">
        <v>12753</v>
      </c>
      <c r="H266" s="1" t="s">
        <v>21</v>
      </c>
      <c r="I266" s="2">
        <v>46039</v>
      </c>
      <c r="K266" s="1" t="s">
        <v>22</v>
      </c>
      <c r="L266" s="1" t="s">
        <v>22</v>
      </c>
      <c r="M266" s="14" t="str">
        <f>IF(Tabela1[[#This Row],[Data_Desligamento]]="","ATIVO","INATIVO")</f>
        <v>ATIVO</v>
      </c>
      <c r="N266" s="14" t="str">
        <f>TEXT(Tabela1[[#This Row],[Data_Admissão]],"mmm")</f>
        <v>jan</v>
      </c>
      <c r="O266" s="14" t="str">
        <f>TEXT(Tabela1[[#This Row],[Data_Desligamento]],"mmm")</f>
        <v>jan</v>
      </c>
      <c r="P266" s="17">
        <f>YEAR(Tabela1[[#This Row],[Data_Admissão]])</f>
        <v>2026</v>
      </c>
      <c r="Q266" s="17" t="str">
        <f>IF(Tabela1[[#This Row],[Data_Desligamento]]="", "", YEAR(Tabela1[[#This Row],[Data_Desligamento]]))</f>
        <v/>
      </c>
      <c r="R266" s="17"/>
    </row>
    <row r="267" spans="1:18">
      <c r="A267" s="1">
        <v>266</v>
      </c>
      <c r="B267" s="1" t="s">
        <v>368</v>
      </c>
      <c r="C267" s="2">
        <v>37770</v>
      </c>
      <c r="D267" s="1" t="s">
        <v>19</v>
      </c>
      <c r="E267" s="1">
        <v>1134</v>
      </c>
      <c r="F267" s="1" t="s">
        <v>38</v>
      </c>
      <c r="G267" s="10">
        <v>15325</v>
      </c>
      <c r="H267" s="1" t="s">
        <v>39</v>
      </c>
      <c r="I267" s="2">
        <v>46043</v>
      </c>
      <c r="K267" s="1" t="s">
        <v>22</v>
      </c>
      <c r="L267" s="1" t="s">
        <v>22</v>
      </c>
      <c r="M267" s="14" t="str">
        <f>IF(Tabela1[[#This Row],[Data_Desligamento]]="","ATIVO","INATIVO")</f>
        <v>ATIVO</v>
      </c>
      <c r="N267" s="14" t="str">
        <f>TEXT(Tabela1[[#This Row],[Data_Admissão]],"mmm")</f>
        <v>jan</v>
      </c>
      <c r="O267" s="14" t="str">
        <f>TEXT(Tabela1[[#This Row],[Data_Desligamento]],"mmm")</f>
        <v>jan</v>
      </c>
      <c r="P267" s="17">
        <f>YEAR(Tabela1[[#This Row],[Data_Admissão]])</f>
        <v>2026</v>
      </c>
      <c r="Q267" s="17" t="str">
        <f>IF(Tabela1[[#This Row],[Data_Desligamento]]="", "", YEAR(Tabela1[[#This Row],[Data_Desligamento]]))</f>
        <v/>
      </c>
      <c r="R267" s="17"/>
    </row>
    <row r="268" spans="1:18">
      <c r="A268" s="1">
        <v>267</v>
      </c>
      <c r="B268" s="1" t="s">
        <v>369</v>
      </c>
      <c r="C268" s="2">
        <v>36705</v>
      </c>
      <c r="D268" s="1" t="s">
        <v>19</v>
      </c>
      <c r="E268" s="1">
        <v>1179</v>
      </c>
      <c r="F268" s="1" t="s">
        <v>68</v>
      </c>
      <c r="G268" s="10">
        <v>1975</v>
      </c>
      <c r="H268" s="1" t="s">
        <v>54</v>
      </c>
      <c r="I268" s="2">
        <v>46043</v>
      </c>
      <c r="K268" s="1" t="s">
        <v>163</v>
      </c>
      <c r="L268" s="1" t="s">
        <v>22</v>
      </c>
      <c r="M268" s="14" t="str">
        <f>IF(Tabela1[[#This Row],[Data_Desligamento]]="","ATIVO","INATIVO")</f>
        <v>ATIVO</v>
      </c>
      <c r="N268" s="14" t="str">
        <f>TEXT(Tabela1[[#This Row],[Data_Admissão]],"mmm")</f>
        <v>jan</v>
      </c>
      <c r="O268" s="14" t="str">
        <f>TEXT(Tabela1[[#This Row],[Data_Desligamento]],"mmm")</f>
        <v>jan</v>
      </c>
      <c r="P268" s="17">
        <f>YEAR(Tabela1[[#This Row],[Data_Admissão]])</f>
        <v>2026</v>
      </c>
      <c r="Q268" s="17" t="str">
        <f>IF(Tabela1[[#This Row],[Data_Desligamento]]="", "", YEAR(Tabela1[[#This Row],[Data_Desligamento]]))</f>
        <v/>
      </c>
      <c r="R268" s="17"/>
    </row>
    <row r="269" spans="1:18">
      <c r="A269" s="1">
        <v>268</v>
      </c>
      <c r="B269" s="1" t="s">
        <v>370</v>
      </c>
      <c r="C269" s="2">
        <v>31618</v>
      </c>
      <c r="D269" s="1" t="s">
        <v>19</v>
      </c>
      <c r="E269" s="1">
        <v>1332</v>
      </c>
      <c r="F269" s="1" t="s">
        <v>57</v>
      </c>
      <c r="G269" s="10">
        <v>5260</v>
      </c>
      <c r="H269" s="1" t="s">
        <v>34</v>
      </c>
      <c r="I269" s="2">
        <v>46046</v>
      </c>
      <c r="J269" s="2">
        <v>46367</v>
      </c>
      <c r="K269" s="1" t="s">
        <v>22</v>
      </c>
      <c r="L269" s="1" t="s">
        <v>173</v>
      </c>
      <c r="M269" s="14" t="str">
        <f>IF(Tabela1[[#This Row],[Data_Desligamento]]="","ATIVO","INATIVO")</f>
        <v>INATIVO</v>
      </c>
      <c r="N269" s="14" t="str">
        <f>TEXT(Tabela1[[#This Row],[Data_Admissão]],"mmm")</f>
        <v>jan</v>
      </c>
      <c r="O269" s="14" t="str">
        <f>TEXT(Tabela1[[#This Row],[Data_Desligamento]],"mmm")</f>
        <v>dez</v>
      </c>
      <c r="P269" s="17">
        <f>YEAR(Tabela1[[#This Row],[Data_Admissão]])</f>
        <v>2026</v>
      </c>
      <c r="Q269" s="17">
        <f>IF(Tabela1[[#This Row],[Data_Desligamento]]="", "", YEAR(Tabela1[[#This Row],[Data_Desligamento]]))</f>
        <v>2026</v>
      </c>
      <c r="R269" s="17"/>
    </row>
    <row r="270" spans="1:18">
      <c r="A270" s="1">
        <v>269</v>
      </c>
      <c r="B270" s="1" t="s">
        <v>371</v>
      </c>
      <c r="C270" s="2">
        <v>28934</v>
      </c>
      <c r="D270" s="1" t="s">
        <v>19</v>
      </c>
      <c r="E270" s="1">
        <v>1321</v>
      </c>
      <c r="F270" s="1" t="s">
        <v>20</v>
      </c>
      <c r="G270" s="10">
        <v>2386</v>
      </c>
      <c r="H270" s="1" t="s">
        <v>21</v>
      </c>
      <c r="I270" s="2">
        <v>46051</v>
      </c>
      <c r="K270" s="1" t="s">
        <v>165</v>
      </c>
      <c r="L270" s="1" t="s">
        <v>22</v>
      </c>
      <c r="M270" s="14" t="str">
        <f>IF(Tabela1[[#This Row],[Data_Desligamento]]="","ATIVO","INATIVO")</f>
        <v>ATIVO</v>
      </c>
      <c r="N270" s="14" t="str">
        <f>TEXT(Tabela1[[#This Row],[Data_Admissão]],"mmm")</f>
        <v>jan</v>
      </c>
      <c r="O270" s="14" t="str">
        <f>TEXT(Tabela1[[#This Row],[Data_Desligamento]],"mmm")</f>
        <v>jan</v>
      </c>
      <c r="P270" s="17">
        <f>YEAR(Tabela1[[#This Row],[Data_Admissão]])</f>
        <v>2026</v>
      </c>
      <c r="Q270" s="17" t="str">
        <f>IF(Tabela1[[#This Row],[Data_Desligamento]]="", "", YEAR(Tabela1[[#This Row],[Data_Desligamento]]))</f>
        <v/>
      </c>
      <c r="R270" s="17"/>
    </row>
    <row r="271" spans="1:18">
      <c r="A271" s="1">
        <v>270</v>
      </c>
      <c r="B271" s="1" t="s">
        <v>372</v>
      </c>
      <c r="C271" s="2">
        <v>38352</v>
      </c>
      <c r="D271" s="1" t="s">
        <v>19</v>
      </c>
      <c r="E271" s="1">
        <v>1176</v>
      </c>
      <c r="F271" s="1" t="s">
        <v>68</v>
      </c>
      <c r="G271" s="10">
        <v>2172</v>
      </c>
      <c r="H271" s="1" t="s">
        <v>54</v>
      </c>
      <c r="I271" s="2">
        <v>46052</v>
      </c>
      <c r="K271" s="1" t="s">
        <v>27</v>
      </c>
      <c r="L271" s="1" t="s">
        <v>22</v>
      </c>
      <c r="M271" s="14" t="str">
        <f>IF(Tabela1[[#This Row],[Data_Desligamento]]="","ATIVO","INATIVO")</f>
        <v>ATIVO</v>
      </c>
      <c r="N271" s="14" t="str">
        <f>TEXT(Tabela1[[#This Row],[Data_Admissão]],"mmm")</f>
        <v>jan</v>
      </c>
      <c r="O271" s="14" t="str">
        <f>TEXT(Tabela1[[#This Row],[Data_Desligamento]],"mmm")</f>
        <v>jan</v>
      </c>
      <c r="P271" s="17">
        <f>YEAR(Tabela1[[#This Row],[Data_Admissão]])</f>
        <v>2026</v>
      </c>
      <c r="Q271" s="17" t="str">
        <f>IF(Tabela1[[#This Row],[Data_Desligamento]]="", "", YEAR(Tabela1[[#This Row],[Data_Desligamento]]))</f>
        <v/>
      </c>
      <c r="R271" s="17"/>
    </row>
    <row r="272" spans="1:18">
      <c r="A272" s="1">
        <v>271</v>
      </c>
      <c r="B272" s="1" t="s">
        <v>373</v>
      </c>
      <c r="C272" s="2">
        <v>37180</v>
      </c>
      <c r="D272" s="1" t="s">
        <v>19</v>
      </c>
      <c r="E272" s="1">
        <v>1347</v>
      </c>
      <c r="F272" s="1" t="s">
        <v>53</v>
      </c>
      <c r="G272" s="10">
        <v>2268</v>
      </c>
      <c r="H272" s="1" t="s">
        <v>54</v>
      </c>
      <c r="I272" s="2">
        <v>46059</v>
      </c>
      <c r="K272" s="1" t="s">
        <v>22</v>
      </c>
      <c r="L272" s="1" t="s">
        <v>22</v>
      </c>
      <c r="M272" s="14" t="str">
        <f>IF(Tabela1[[#This Row],[Data_Desligamento]]="","ATIVO","INATIVO")</f>
        <v>ATIVO</v>
      </c>
      <c r="N272" s="14" t="str">
        <f>TEXT(Tabela1[[#This Row],[Data_Admissão]],"mmm")</f>
        <v>fev</v>
      </c>
      <c r="O272" s="14" t="str">
        <f>TEXT(Tabela1[[#This Row],[Data_Desligamento]],"mmm")</f>
        <v>jan</v>
      </c>
      <c r="P272" s="17">
        <f>YEAR(Tabela1[[#This Row],[Data_Admissão]])</f>
        <v>2026</v>
      </c>
      <c r="Q272" s="17" t="str">
        <f>IF(Tabela1[[#This Row],[Data_Desligamento]]="", "", YEAR(Tabela1[[#This Row],[Data_Desligamento]]))</f>
        <v/>
      </c>
      <c r="R272" s="17"/>
    </row>
    <row r="273" spans="1:18">
      <c r="A273" s="1">
        <v>272</v>
      </c>
      <c r="B273" s="1" t="s">
        <v>374</v>
      </c>
      <c r="C273" s="2">
        <v>26041</v>
      </c>
      <c r="D273" s="1" t="s">
        <v>19</v>
      </c>
      <c r="E273" s="1">
        <v>1142</v>
      </c>
      <c r="F273" s="1" t="s">
        <v>20</v>
      </c>
      <c r="G273" s="10">
        <v>3653</v>
      </c>
      <c r="H273" s="1" t="s">
        <v>21</v>
      </c>
      <c r="I273" s="2">
        <v>46071</v>
      </c>
      <c r="J273" s="2">
        <v>46093</v>
      </c>
      <c r="K273" s="1" t="s">
        <v>36</v>
      </c>
      <c r="L273" s="1" t="s">
        <v>176</v>
      </c>
      <c r="M273" s="14" t="str">
        <f>IF(Tabela1[[#This Row],[Data_Desligamento]]="","ATIVO","INATIVO")</f>
        <v>INATIVO</v>
      </c>
      <c r="N273" s="14" t="str">
        <f>TEXT(Tabela1[[#This Row],[Data_Admissão]],"mmm")</f>
        <v>fev</v>
      </c>
      <c r="O273" s="14" t="str">
        <f>TEXT(Tabela1[[#This Row],[Data_Desligamento]],"mmm")</f>
        <v>mar</v>
      </c>
      <c r="P273" s="17">
        <f>YEAR(Tabela1[[#This Row],[Data_Admissão]])</f>
        <v>2026</v>
      </c>
      <c r="Q273" s="17">
        <f>IF(Tabela1[[#This Row],[Data_Desligamento]]="", "", YEAR(Tabela1[[#This Row],[Data_Desligamento]]))</f>
        <v>2026</v>
      </c>
      <c r="R273" s="17"/>
    </row>
    <row r="274" spans="1:18">
      <c r="A274" s="1">
        <v>273</v>
      </c>
      <c r="B274" s="1" t="s">
        <v>375</v>
      </c>
      <c r="C274" s="2">
        <v>26426</v>
      </c>
      <c r="D274" s="1" t="s">
        <v>19</v>
      </c>
      <c r="E274" s="1">
        <v>1288</v>
      </c>
      <c r="F274" s="1" t="s">
        <v>68</v>
      </c>
      <c r="G274" s="10">
        <v>1934</v>
      </c>
      <c r="H274" s="1" t="s">
        <v>54</v>
      </c>
      <c r="I274" s="2">
        <v>46078</v>
      </c>
      <c r="K274" s="1" t="s">
        <v>46</v>
      </c>
      <c r="L274" s="1" t="s">
        <v>22</v>
      </c>
      <c r="M274" s="14" t="str">
        <f>IF(Tabela1[[#This Row],[Data_Desligamento]]="","ATIVO","INATIVO")</f>
        <v>ATIVO</v>
      </c>
      <c r="N274" s="14" t="str">
        <f>TEXT(Tabela1[[#This Row],[Data_Admissão]],"mmm")</f>
        <v>fev</v>
      </c>
      <c r="O274" s="14" t="str">
        <f>TEXT(Tabela1[[#This Row],[Data_Desligamento]],"mmm")</f>
        <v>jan</v>
      </c>
      <c r="P274" s="17">
        <f>YEAR(Tabela1[[#This Row],[Data_Admissão]])</f>
        <v>2026</v>
      </c>
      <c r="Q274" s="17" t="str">
        <f>IF(Tabela1[[#This Row],[Data_Desligamento]]="", "", YEAR(Tabela1[[#This Row],[Data_Desligamento]]))</f>
        <v/>
      </c>
      <c r="R274" s="17"/>
    </row>
    <row r="275" spans="1:18">
      <c r="A275" s="1">
        <v>274</v>
      </c>
      <c r="B275" s="1" t="s">
        <v>376</v>
      </c>
      <c r="C275" s="2">
        <v>32813</v>
      </c>
      <c r="D275" s="1" t="s">
        <v>19</v>
      </c>
      <c r="E275" s="1">
        <v>1293</v>
      </c>
      <c r="F275" s="1" t="s">
        <v>33</v>
      </c>
      <c r="G275" s="10">
        <v>5138</v>
      </c>
      <c r="H275" s="1" t="s">
        <v>34</v>
      </c>
      <c r="I275" s="2">
        <v>46078</v>
      </c>
      <c r="K275" s="1" t="s">
        <v>22</v>
      </c>
      <c r="L275" s="1" t="s">
        <v>22</v>
      </c>
      <c r="M275" s="14" t="str">
        <f>IF(Tabela1[[#This Row],[Data_Desligamento]]="","ATIVO","INATIVO")</f>
        <v>ATIVO</v>
      </c>
      <c r="N275" s="14" t="str">
        <f>TEXT(Tabela1[[#This Row],[Data_Admissão]],"mmm")</f>
        <v>fev</v>
      </c>
      <c r="O275" s="14" t="str">
        <f>TEXT(Tabela1[[#This Row],[Data_Desligamento]],"mmm")</f>
        <v>jan</v>
      </c>
      <c r="P275" s="17">
        <f>YEAR(Tabela1[[#This Row],[Data_Admissão]])</f>
        <v>2026</v>
      </c>
      <c r="Q275" s="17" t="str">
        <f>IF(Tabela1[[#This Row],[Data_Desligamento]]="", "", YEAR(Tabela1[[#This Row],[Data_Desligamento]]))</f>
        <v/>
      </c>
      <c r="R275" s="17"/>
    </row>
    <row r="276" spans="1:18">
      <c r="A276" s="1">
        <v>275</v>
      </c>
      <c r="B276" s="1" t="s">
        <v>377</v>
      </c>
      <c r="C276" s="2">
        <v>38052</v>
      </c>
      <c r="D276" s="1" t="s">
        <v>19</v>
      </c>
      <c r="E276" s="1">
        <v>1228</v>
      </c>
      <c r="F276" s="1" t="s">
        <v>57</v>
      </c>
      <c r="G276" s="10">
        <v>7065</v>
      </c>
      <c r="H276" s="1" t="s">
        <v>34</v>
      </c>
      <c r="I276" s="2">
        <v>46087</v>
      </c>
      <c r="K276" s="1" t="s">
        <v>22</v>
      </c>
      <c r="L276" s="1" t="s">
        <v>22</v>
      </c>
      <c r="M276" s="14" t="str">
        <f>IF(Tabela1[[#This Row],[Data_Desligamento]]="","ATIVO","INATIVO")</f>
        <v>ATIVO</v>
      </c>
      <c r="N276" s="14" t="str">
        <f>TEXT(Tabela1[[#This Row],[Data_Admissão]],"mmm")</f>
        <v>mar</v>
      </c>
      <c r="O276" s="14" t="str">
        <f>TEXT(Tabela1[[#This Row],[Data_Desligamento]],"mmm")</f>
        <v>jan</v>
      </c>
      <c r="P276" s="17">
        <f>YEAR(Tabela1[[#This Row],[Data_Admissão]])</f>
        <v>2026</v>
      </c>
      <c r="Q276" s="17" t="str">
        <f>IF(Tabela1[[#This Row],[Data_Desligamento]]="", "", YEAR(Tabela1[[#This Row],[Data_Desligamento]]))</f>
        <v/>
      </c>
      <c r="R276" s="17"/>
    </row>
    <row r="277" spans="1:18">
      <c r="A277" s="1">
        <v>276</v>
      </c>
      <c r="B277" s="1" t="s">
        <v>378</v>
      </c>
      <c r="C277" s="2">
        <v>38031</v>
      </c>
      <c r="D277" s="1" t="s">
        <v>19</v>
      </c>
      <c r="E277" s="1">
        <v>1201</v>
      </c>
      <c r="F277" s="1" t="s">
        <v>57</v>
      </c>
      <c r="G277" s="10">
        <v>3934</v>
      </c>
      <c r="H277" s="1" t="s">
        <v>34</v>
      </c>
      <c r="I277" s="2">
        <v>46094</v>
      </c>
      <c r="K277" s="1" t="s">
        <v>49</v>
      </c>
      <c r="L277" s="1" t="s">
        <v>22</v>
      </c>
      <c r="M277" s="14" t="str">
        <f>IF(Tabela1[[#This Row],[Data_Desligamento]]="","ATIVO","INATIVO")</f>
        <v>ATIVO</v>
      </c>
      <c r="N277" s="14" t="str">
        <f>TEXT(Tabela1[[#This Row],[Data_Admissão]],"mmm")</f>
        <v>mar</v>
      </c>
      <c r="O277" s="14" t="str">
        <f>TEXT(Tabela1[[#This Row],[Data_Desligamento]],"mmm")</f>
        <v>jan</v>
      </c>
      <c r="P277" s="17">
        <f>YEAR(Tabela1[[#This Row],[Data_Admissão]])</f>
        <v>2026</v>
      </c>
      <c r="Q277" s="17" t="str">
        <f>IF(Tabela1[[#This Row],[Data_Desligamento]]="", "", YEAR(Tabela1[[#This Row],[Data_Desligamento]]))</f>
        <v/>
      </c>
      <c r="R277" s="17"/>
    </row>
    <row r="278" spans="1:18">
      <c r="A278" s="1">
        <v>277</v>
      </c>
      <c r="B278" s="1" t="s">
        <v>168</v>
      </c>
      <c r="C278" s="2">
        <v>30281</v>
      </c>
      <c r="D278" s="1" t="s">
        <v>19</v>
      </c>
      <c r="E278" s="1">
        <v>1147</v>
      </c>
      <c r="F278" s="1" t="s">
        <v>57</v>
      </c>
      <c r="G278" s="10">
        <v>3802</v>
      </c>
      <c r="H278" s="1" t="s">
        <v>34</v>
      </c>
      <c r="I278" s="2">
        <v>46094</v>
      </c>
      <c r="K278" s="1" t="s">
        <v>55</v>
      </c>
      <c r="L278" s="1" t="s">
        <v>22</v>
      </c>
      <c r="M278" s="14" t="str">
        <f>IF(Tabela1[[#This Row],[Data_Desligamento]]="","ATIVO","INATIVO")</f>
        <v>ATIVO</v>
      </c>
      <c r="N278" s="14" t="str">
        <f>TEXT(Tabela1[[#This Row],[Data_Admissão]],"mmm")</f>
        <v>mar</v>
      </c>
      <c r="O278" s="14" t="str">
        <f>TEXT(Tabela1[[#This Row],[Data_Desligamento]],"mmm")</f>
        <v>jan</v>
      </c>
      <c r="P278" s="17">
        <f>YEAR(Tabela1[[#This Row],[Data_Admissão]])</f>
        <v>2026</v>
      </c>
      <c r="Q278" s="17" t="str">
        <f>IF(Tabela1[[#This Row],[Data_Desligamento]]="", "", YEAR(Tabela1[[#This Row],[Data_Desligamento]]))</f>
        <v/>
      </c>
      <c r="R278" s="17"/>
    </row>
    <row r="279" spans="1:18">
      <c r="A279" s="1">
        <v>278</v>
      </c>
      <c r="B279" s="1" t="s">
        <v>379</v>
      </c>
      <c r="C279" s="2">
        <v>36715</v>
      </c>
      <c r="D279" s="1" t="s">
        <v>19</v>
      </c>
      <c r="E279" s="1">
        <v>1183</v>
      </c>
      <c r="F279" s="1" t="s">
        <v>25</v>
      </c>
      <c r="G279" s="10">
        <v>4752</v>
      </c>
      <c r="H279" s="1" t="s">
        <v>26</v>
      </c>
      <c r="I279" s="2">
        <v>46094</v>
      </c>
      <c r="K279" s="1" t="s">
        <v>22</v>
      </c>
      <c r="L279" s="1" t="s">
        <v>22</v>
      </c>
      <c r="M279" s="14" t="str">
        <f>IF(Tabela1[[#This Row],[Data_Desligamento]]="","ATIVO","INATIVO")</f>
        <v>ATIVO</v>
      </c>
      <c r="N279" s="14" t="str">
        <f>TEXT(Tabela1[[#This Row],[Data_Admissão]],"mmm")</f>
        <v>mar</v>
      </c>
      <c r="O279" s="14" t="str">
        <f>TEXT(Tabela1[[#This Row],[Data_Desligamento]],"mmm")</f>
        <v>jan</v>
      </c>
      <c r="P279" s="17">
        <f>YEAR(Tabela1[[#This Row],[Data_Admissão]])</f>
        <v>2026</v>
      </c>
      <c r="Q279" s="17" t="str">
        <f>IF(Tabela1[[#This Row],[Data_Desligamento]]="", "", YEAR(Tabela1[[#This Row],[Data_Desligamento]]))</f>
        <v/>
      </c>
      <c r="R279" s="17"/>
    </row>
    <row r="280" spans="1:18">
      <c r="A280" s="1">
        <v>279</v>
      </c>
      <c r="B280" s="1" t="s">
        <v>380</v>
      </c>
      <c r="C280" s="2">
        <v>38203</v>
      </c>
      <c r="D280" s="1" t="s">
        <v>19</v>
      </c>
      <c r="E280" s="1">
        <v>1028</v>
      </c>
      <c r="F280" s="1" t="s">
        <v>38</v>
      </c>
      <c r="G280" s="10">
        <v>17011</v>
      </c>
      <c r="H280" s="1" t="s">
        <v>39</v>
      </c>
      <c r="I280" s="2">
        <v>46098</v>
      </c>
      <c r="K280" s="1" t="s">
        <v>58</v>
      </c>
      <c r="L280" s="1" t="s">
        <v>22</v>
      </c>
      <c r="M280" s="14" t="str">
        <f>IF(Tabela1[[#This Row],[Data_Desligamento]]="","ATIVO","INATIVO")</f>
        <v>ATIVO</v>
      </c>
      <c r="N280" s="14" t="str">
        <f>TEXT(Tabela1[[#This Row],[Data_Admissão]],"mmm")</f>
        <v>mar</v>
      </c>
      <c r="O280" s="14" t="str">
        <f>TEXT(Tabela1[[#This Row],[Data_Desligamento]],"mmm")</f>
        <v>jan</v>
      </c>
      <c r="P280" s="17">
        <f>YEAR(Tabela1[[#This Row],[Data_Admissão]])</f>
        <v>2026</v>
      </c>
      <c r="Q280" s="17" t="str">
        <f>IF(Tabela1[[#This Row],[Data_Desligamento]]="", "", YEAR(Tabela1[[#This Row],[Data_Desligamento]]))</f>
        <v/>
      </c>
      <c r="R280" s="17"/>
    </row>
    <row r="281" spans="1:18">
      <c r="A281" s="1">
        <v>280</v>
      </c>
      <c r="B281" s="1" t="s">
        <v>381</v>
      </c>
      <c r="C281" s="2">
        <v>37840</v>
      </c>
      <c r="D281" s="1" t="s">
        <v>19</v>
      </c>
      <c r="E281" s="1">
        <v>1328</v>
      </c>
      <c r="F281" s="1" t="s">
        <v>81</v>
      </c>
      <c r="G281" s="10">
        <v>1209</v>
      </c>
      <c r="H281" s="1" t="s">
        <v>45</v>
      </c>
      <c r="I281" s="2">
        <v>46103</v>
      </c>
      <c r="K281" s="1" t="s">
        <v>22</v>
      </c>
      <c r="L281" s="1" t="s">
        <v>22</v>
      </c>
      <c r="M281" s="14" t="str">
        <f>IF(Tabela1[[#This Row],[Data_Desligamento]]="","ATIVO","INATIVO")</f>
        <v>ATIVO</v>
      </c>
      <c r="N281" s="14" t="str">
        <f>TEXT(Tabela1[[#This Row],[Data_Admissão]],"mmm")</f>
        <v>mar</v>
      </c>
      <c r="O281" s="14" t="str">
        <f>TEXT(Tabela1[[#This Row],[Data_Desligamento]],"mmm")</f>
        <v>jan</v>
      </c>
      <c r="P281" s="17">
        <f>YEAR(Tabela1[[#This Row],[Data_Admissão]])</f>
        <v>2026</v>
      </c>
      <c r="Q281" s="17" t="str">
        <f>IF(Tabela1[[#This Row],[Data_Desligamento]]="", "", YEAR(Tabela1[[#This Row],[Data_Desligamento]]))</f>
        <v/>
      </c>
      <c r="R281" s="17"/>
    </row>
    <row r="282" spans="1:18">
      <c r="A282" s="1">
        <v>281</v>
      </c>
      <c r="B282" s="1" t="s">
        <v>382</v>
      </c>
      <c r="C282" s="2">
        <v>32710</v>
      </c>
      <c r="D282" s="1" t="s">
        <v>19</v>
      </c>
      <c r="E282" s="1">
        <v>1274</v>
      </c>
      <c r="F282" s="1" t="s">
        <v>25</v>
      </c>
      <c r="G282" s="10">
        <v>2973</v>
      </c>
      <c r="H282" s="1" t="s">
        <v>26</v>
      </c>
      <c r="I282" s="2">
        <v>46109</v>
      </c>
      <c r="K282" s="1" t="s">
        <v>60</v>
      </c>
      <c r="L282" s="1" t="s">
        <v>22</v>
      </c>
      <c r="M282" s="14" t="str">
        <f>IF(Tabela1[[#This Row],[Data_Desligamento]]="","ATIVO","INATIVO")</f>
        <v>ATIVO</v>
      </c>
      <c r="N282" s="14" t="str">
        <f>TEXT(Tabela1[[#This Row],[Data_Admissão]],"mmm")</f>
        <v>mar</v>
      </c>
      <c r="O282" s="14" t="str">
        <f>TEXT(Tabela1[[#This Row],[Data_Desligamento]],"mmm")</f>
        <v>jan</v>
      </c>
      <c r="P282" s="17">
        <f>YEAR(Tabela1[[#This Row],[Data_Admissão]])</f>
        <v>2026</v>
      </c>
      <c r="Q282" s="17" t="str">
        <f>IF(Tabela1[[#This Row],[Data_Desligamento]]="", "", YEAR(Tabela1[[#This Row],[Data_Desligamento]]))</f>
        <v/>
      </c>
      <c r="R282" s="17"/>
    </row>
    <row r="283" spans="1:18">
      <c r="A283" s="1">
        <v>282</v>
      </c>
      <c r="B283" s="1" t="s">
        <v>383</v>
      </c>
      <c r="C283" s="2">
        <v>33542</v>
      </c>
      <c r="D283" s="1" t="s">
        <v>19</v>
      </c>
      <c r="E283" s="1">
        <v>1039</v>
      </c>
      <c r="F283" s="1" t="s">
        <v>57</v>
      </c>
      <c r="G283" s="10">
        <v>5772</v>
      </c>
      <c r="H283" s="1" t="s">
        <v>34</v>
      </c>
      <c r="I283" s="2">
        <v>46115</v>
      </c>
      <c r="J283" s="2">
        <v>46169</v>
      </c>
      <c r="K283" s="1" t="s">
        <v>65</v>
      </c>
      <c r="L283" s="1" t="s">
        <v>178</v>
      </c>
      <c r="M283" s="14" t="str">
        <f>IF(Tabela1[[#This Row],[Data_Desligamento]]="","ATIVO","INATIVO")</f>
        <v>INATIVO</v>
      </c>
      <c r="N283" s="14" t="str">
        <f>TEXT(Tabela1[[#This Row],[Data_Admissão]],"mmm")</f>
        <v>abr</v>
      </c>
      <c r="O283" s="14" t="str">
        <f>TEXT(Tabela1[[#This Row],[Data_Desligamento]],"mmm")</f>
        <v>mai</v>
      </c>
      <c r="P283" s="17">
        <f>YEAR(Tabela1[[#This Row],[Data_Admissão]])</f>
        <v>2026</v>
      </c>
      <c r="Q283" s="17">
        <f>IF(Tabela1[[#This Row],[Data_Desligamento]]="", "", YEAR(Tabela1[[#This Row],[Data_Desligamento]]))</f>
        <v>2026</v>
      </c>
      <c r="R283" s="17"/>
    </row>
    <row r="284" spans="1:18">
      <c r="A284" s="1">
        <v>283</v>
      </c>
      <c r="B284" s="1" t="s">
        <v>384</v>
      </c>
      <c r="C284" s="2">
        <v>25757</v>
      </c>
      <c r="D284" s="1" t="s">
        <v>19</v>
      </c>
      <c r="E284" s="1">
        <v>1017</v>
      </c>
      <c r="F284" s="1" t="s">
        <v>38</v>
      </c>
      <c r="G284" s="10">
        <v>17797</v>
      </c>
      <c r="H284" s="1" t="s">
        <v>39</v>
      </c>
      <c r="I284" s="2">
        <v>46116</v>
      </c>
      <c r="K284" s="1" t="s">
        <v>22</v>
      </c>
      <c r="L284" s="1" t="s">
        <v>22</v>
      </c>
      <c r="M284" s="14" t="str">
        <f>IF(Tabela1[[#This Row],[Data_Desligamento]]="","ATIVO","INATIVO")</f>
        <v>ATIVO</v>
      </c>
      <c r="N284" s="14" t="str">
        <f>TEXT(Tabela1[[#This Row],[Data_Admissão]],"mmm")</f>
        <v>abr</v>
      </c>
      <c r="O284" s="14" t="str">
        <f>TEXT(Tabela1[[#This Row],[Data_Desligamento]],"mmm")</f>
        <v>jan</v>
      </c>
      <c r="P284" s="17">
        <f>YEAR(Tabela1[[#This Row],[Data_Admissão]])</f>
        <v>2026</v>
      </c>
      <c r="Q284" s="17" t="str">
        <f>IF(Tabela1[[#This Row],[Data_Desligamento]]="", "", YEAR(Tabela1[[#This Row],[Data_Desligamento]]))</f>
        <v/>
      </c>
      <c r="R284" s="17"/>
    </row>
    <row r="285" spans="1:18">
      <c r="A285" s="1">
        <v>284</v>
      </c>
      <c r="B285" s="1" t="s">
        <v>385</v>
      </c>
      <c r="C285" s="2">
        <v>36283</v>
      </c>
      <c r="D285" s="1" t="s">
        <v>19</v>
      </c>
      <c r="E285" s="1">
        <v>1003</v>
      </c>
      <c r="F285" s="1" t="s">
        <v>44</v>
      </c>
      <c r="G285" s="10">
        <v>5952</v>
      </c>
      <c r="H285" s="1" t="s">
        <v>45</v>
      </c>
      <c r="I285" s="2">
        <v>46120</v>
      </c>
      <c r="K285" s="1" t="s">
        <v>69</v>
      </c>
      <c r="L285" s="1" t="s">
        <v>22</v>
      </c>
      <c r="M285" s="14" t="str">
        <f>IF(Tabela1[[#This Row],[Data_Desligamento]]="","ATIVO","INATIVO")</f>
        <v>ATIVO</v>
      </c>
      <c r="N285" s="14" t="str">
        <f>TEXT(Tabela1[[#This Row],[Data_Admissão]],"mmm")</f>
        <v>abr</v>
      </c>
      <c r="O285" s="14" t="str">
        <f>TEXT(Tabela1[[#This Row],[Data_Desligamento]],"mmm")</f>
        <v>jan</v>
      </c>
      <c r="P285" s="17">
        <f>YEAR(Tabela1[[#This Row],[Data_Admissão]])</f>
        <v>2026</v>
      </c>
      <c r="Q285" s="17" t="str">
        <f>IF(Tabela1[[#This Row],[Data_Desligamento]]="", "", YEAR(Tabela1[[#This Row],[Data_Desligamento]]))</f>
        <v/>
      </c>
      <c r="R285" s="17"/>
    </row>
    <row r="286" spans="1:18">
      <c r="A286" s="1">
        <v>285</v>
      </c>
      <c r="B286" s="1" t="s">
        <v>386</v>
      </c>
      <c r="C286" s="2">
        <v>38182</v>
      </c>
      <c r="D286" s="1" t="s">
        <v>19</v>
      </c>
      <c r="E286" s="1">
        <v>1233</v>
      </c>
      <c r="F286" s="1" t="s">
        <v>38</v>
      </c>
      <c r="G286" s="10">
        <v>13833</v>
      </c>
      <c r="H286" s="1" t="s">
        <v>39</v>
      </c>
      <c r="I286" s="2">
        <v>46122</v>
      </c>
      <c r="K286" s="1" t="s">
        <v>71</v>
      </c>
      <c r="L286" s="1" t="s">
        <v>22</v>
      </c>
      <c r="M286" s="14" t="str">
        <f>IF(Tabela1[[#This Row],[Data_Desligamento]]="","ATIVO","INATIVO")</f>
        <v>ATIVO</v>
      </c>
      <c r="N286" s="14" t="str">
        <f>TEXT(Tabela1[[#This Row],[Data_Admissão]],"mmm")</f>
        <v>abr</v>
      </c>
      <c r="O286" s="14" t="str">
        <f>TEXT(Tabela1[[#This Row],[Data_Desligamento]],"mmm")</f>
        <v>jan</v>
      </c>
      <c r="P286" s="17">
        <f>YEAR(Tabela1[[#This Row],[Data_Admissão]])</f>
        <v>2026</v>
      </c>
      <c r="Q286" s="17" t="str">
        <f>IF(Tabela1[[#This Row],[Data_Desligamento]]="", "", YEAR(Tabela1[[#This Row],[Data_Desligamento]]))</f>
        <v/>
      </c>
      <c r="R286" s="17"/>
    </row>
    <row r="287" spans="1:18">
      <c r="A287" s="1">
        <v>286</v>
      </c>
      <c r="B287" s="1" t="s">
        <v>387</v>
      </c>
      <c r="C287" s="2">
        <v>36791</v>
      </c>
      <c r="D287" s="1" t="s">
        <v>19</v>
      </c>
      <c r="E287" s="1">
        <v>1286</v>
      </c>
      <c r="F287" s="1" t="s">
        <v>53</v>
      </c>
      <c r="G287" s="10">
        <v>2498</v>
      </c>
      <c r="H287" s="1" t="s">
        <v>54</v>
      </c>
      <c r="I287" s="2">
        <v>46124</v>
      </c>
      <c r="K287" s="1" t="s">
        <v>73</v>
      </c>
      <c r="L287" s="1" t="s">
        <v>22</v>
      </c>
      <c r="M287" s="14" t="str">
        <f>IF(Tabela1[[#This Row],[Data_Desligamento]]="","ATIVO","INATIVO")</f>
        <v>ATIVO</v>
      </c>
      <c r="N287" s="14" t="str">
        <f>TEXT(Tabela1[[#This Row],[Data_Admissão]],"mmm")</f>
        <v>abr</v>
      </c>
      <c r="O287" s="14" t="str">
        <f>TEXT(Tabela1[[#This Row],[Data_Desligamento]],"mmm")</f>
        <v>jan</v>
      </c>
      <c r="P287" s="17">
        <f>YEAR(Tabela1[[#This Row],[Data_Admissão]])</f>
        <v>2026</v>
      </c>
      <c r="Q287" s="17" t="str">
        <f>IF(Tabela1[[#This Row],[Data_Desligamento]]="", "", YEAR(Tabela1[[#This Row],[Data_Desligamento]]))</f>
        <v/>
      </c>
      <c r="R287" s="17"/>
    </row>
    <row r="288" spans="1:18">
      <c r="A288" s="1">
        <v>287</v>
      </c>
      <c r="B288" s="1" t="s">
        <v>388</v>
      </c>
      <c r="C288" s="2">
        <v>38322</v>
      </c>
      <c r="D288" s="1" t="s">
        <v>19</v>
      </c>
      <c r="E288" s="1">
        <v>1084</v>
      </c>
      <c r="F288" s="1" t="s">
        <v>33</v>
      </c>
      <c r="G288" s="10">
        <v>6493</v>
      </c>
      <c r="H288" s="1" t="s">
        <v>34</v>
      </c>
      <c r="I288" s="2">
        <v>46131</v>
      </c>
      <c r="K288" s="1" t="s">
        <v>79</v>
      </c>
      <c r="L288" s="1" t="s">
        <v>22</v>
      </c>
      <c r="M288" s="14" t="str">
        <f>IF(Tabela1[[#This Row],[Data_Desligamento]]="","ATIVO","INATIVO")</f>
        <v>ATIVO</v>
      </c>
      <c r="N288" s="14" t="str">
        <f>TEXT(Tabela1[[#This Row],[Data_Admissão]],"mmm")</f>
        <v>abr</v>
      </c>
      <c r="O288" s="14" t="str">
        <f>TEXT(Tabela1[[#This Row],[Data_Desligamento]],"mmm")</f>
        <v>jan</v>
      </c>
      <c r="P288" s="17">
        <f>YEAR(Tabela1[[#This Row],[Data_Admissão]])</f>
        <v>2026</v>
      </c>
      <c r="Q288" s="17" t="str">
        <f>IF(Tabela1[[#This Row],[Data_Desligamento]]="", "", YEAR(Tabela1[[#This Row],[Data_Desligamento]]))</f>
        <v/>
      </c>
      <c r="R288" s="17"/>
    </row>
    <row r="289" spans="1:18">
      <c r="A289" s="1">
        <v>288</v>
      </c>
      <c r="B289" s="1" t="s">
        <v>234</v>
      </c>
      <c r="C289" s="2">
        <v>37918</v>
      </c>
      <c r="D289" s="1" t="s">
        <v>19</v>
      </c>
      <c r="E289" s="1">
        <v>1042</v>
      </c>
      <c r="F289" s="1" t="s">
        <v>63</v>
      </c>
      <c r="G289" s="10">
        <v>11271</v>
      </c>
      <c r="H289" s="1" t="s">
        <v>21</v>
      </c>
      <c r="I289" s="2">
        <v>46135</v>
      </c>
      <c r="K289" s="1" t="s">
        <v>92</v>
      </c>
      <c r="L289" s="1" t="s">
        <v>22</v>
      </c>
      <c r="M289" s="14" t="str">
        <f>IF(Tabela1[[#This Row],[Data_Desligamento]]="","ATIVO","INATIVO")</f>
        <v>ATIVO</v>
      </c>
      <c r="N289" s="14" t="str">
        <f>TEXT(Tabela1[[#This Row],[Data_Admissão]],"mmm")</f>
        <v>abr</v>
      </c>
      <c r="O289" s="14" t="str">
        <f>TEXT(Tabela1[[#This Row],[Data_Desligamento]],"mmm")</f>
        <v>jan</v>
      </c>
      <c r="P289" s="17">
        <f>YEAR(Tabela1[[#This Row],[Data_Admissão]])</f>
        <v>2026</v>
      </c>
      <c r="Q289" s="17" t="str">
        <f>IF(Tabela1[[#This Row],[Data_Desligamento]]="", "", YEAR(Tabela1[[#This Row],[Data_Desligamento]]))</f>
        <v/>
      </c>
      <c r="R289" s="17"/>
    </row>
    <row r="290" spans="1:18">
      <c r="A290" s="1">
        <v>289</v>
      </c>
      <c r="B290" s="1" t="s">
        <v>389</v>
      </c>
      <c r="C290" s="2">
        <v>26883</v>
      </c>
      <c r="D290" s="1" t="s">
        <v>19</v>
      </c>
      <c r="E290" s="1">
        <v>1335</v>
      </c>
      <c r="F290" s="1" t="s">
        <v>68</v>
      </c>
      <c r="G290" s="10">
        <v>2072</v>
      </c>
      <c r="H290" s="1" t="s">
        <v>54</v>
      </c>
      <c r="I290" s="2">
        <v>46136</v>
      </c>
      <c r="K290" s="1" t="s">
        <v>95</v>
      </c>
      <c r="L290" s="1" t="s">
        <v>22</v>
      </c>
      <c r="M290" s="14" t="str">
        <f>IF(Tabela1[[#This Row],[Data_Desligamento]]="","ATIVO","INATIVO")</f>
        <v>ATIVO</v>
      </c>
      <c r="N290" s="14" t="str">
        <f>TEXT(Tabela1[[#This Row],[Data_Admissão]],"mmm")</f>
        <v>abr</v>
      </c>
      <c r="O290" s="14" t="str">
        <f>TEXT(Tabela1[[#This Row],[Data_Desligamento]],"mmm")</f>
        <v>jan</v>
      </c>
      <c r="P290" s="17">
        <f>YEAR(Tabela1[[#This Row],[Data_Admissão]])</f>
        <v>2026</v>
      </c>
      <c r="Q290" s="17" t="str">
        <f>IF(Tabela1[[#This Row],[Data_Desligamento]]="", "", YEAR(Tabela1[[#This Row],[Data_Desligamento]]))</f>
        <v/>
      </c>
      <c r="R290" s="17"/>
    </row>
    <row r="291" spans="1:18">
      <c r="A291" s="1">
        <v>290</v>
      </c>
      <c r="B291" s="1" t="s">
        <v>390</v>
      </c>
      <c r="C291" s="2">
        <v>31811</v>
      </c>
      <c r="D291" s="1" t="s">
        <v>19</v>
      </c>
      <c r="E291" s="1">
        <v>1034</v>
      </c>
      <c r="F291" s="1" t="s">
        <v>63</v>
      </c>
      <c r="G291" s="10">
        <v>12028</v>
      </c>
      <c r="H291" s="1" t="s">
        <v>21</v>
      </c>
      <c r="I291" s="2">
        <v>46139</v>
      </c>
      <c r="K291" s="1" t="s">
        <v>98</v>
      </c>
      <c r="L291" s="1" t="s">
        <v>22</v>
      </c>
      <c r="M291" s="14" t="str">
        <f>IF(Tabela1[[#This Row],[Data_Desligamento]]="","ATIVO","INATIVO")</f>
        <v>ATIVO</v>
      </c>
      <c r="N291" s="14" t="str">
        <f>TEXT(Tabela1[[#This Row],[Data_Admissão]],"mmm")</f>
        <v>abr</v>
      </c>
      <c r="O291" s="14" t="str">
        <f>TEXT(Tabela1[[#This Row],[Data_Desligamento]],"mmm")</f>
        <v>jan</v>
      </c>
      <c r="P291" s="17">
        <f>YEAR(Tabela1[[#This Row],[Data_Admissão]])</f>
        <v>2026</v>
      </c>
      <c r="Q291" s="17" t="str">
        <f>IF(Tabela1[[#This Row],[Data_Desligamento]]="", "", YEAR(Tabela1[[#This Row],[Data_Desligamento]]))</f>
        <v/>
      </c>
      <c r="R291" s="17"/>
    </row>
    <row r="292" spans="1:18">
      <c r="A292" s="1">
        <v>291</v>
      </c>
      <c r="B292" s="1" t="s">
        <v>391</v>
      </c>
      <c r="C292" s="2">
        <v>37740</v>
      </c>
      <c r="D292" s="1" t="s">
        <v>19</v>
      </c>
      <c r="E292" s="1">
        <v>1121</v>
      </c>
      <c r="F292" s="1" t="s">
        <v>138</v>
      </c>
      <c r="G292" s="10">
        <v>8338</v>
      </c>
      <c r="H292" s="1" t="s">
        <v>139</v>
      </c>
      <c r="I292" s="2">
        <v>46141</v>
      </c>
      <c r="J292" s="2">
        <v>46216</v>
      </c>
      <c r="K292" s="1" t="s">
        <v>22</v>
      </c>
      <c r="L292" s="1" t="s">
        <v>182</v>
      </c>
      <c r="M292" s="14" t="str">
        <f>IF(Tabela1[[#This Row],[Data_Desligamento]]="","ATIVO","INATIVO")</f>
        <v>INATIVO</v>
      </c>
      <c r="N292" s="14" t="str">
        <f>TEXT(Tabela1[[#This Row],[Data_Admissão]],"mmm")</f>
        <v>abr</v>
      </c>
      <c r="O292" s="14" t="str">
        <f>TEXT(Tabela1[[#This Row],[Data_Desligamento]],"mmm")</f>
        <v>jul</v>
      </c>
      <c r="P292" s="17">
        <f>YEAR(Tabela1[[#This Row],[Data_Admissão]])</f>
        <v>2026</v>
      </c>
      <c r="Q292" s="17">
        <f>IF(Tabela1[[#This Row],[Data_Desligamento]]="", "", YEAR(Tabela1[[#This Row],[Data_Desligamento]]))</f>
        <v>2026</v>
      </c>
      <c r="R292" s="17"/>
    </row>
    <row r="293" spans="1:18">
      <c r="A293" s="1">
        <v>292</v>
      </c>
      <c r="B293" s="1" t="s">
        <v>392</v>
      </c>
      <c r="C293" s="2">
        <v>37517</v>
      </c>
      <c r="D293" s="1" t="s">
        <v>19</v>
      </c>
      <c r="E293" s="1">
        <v>1077</v>
      </c>
      <c r="F293" s="1" t="s">
        <v>76</v>
      </c>
      <c r="G293" s="10">
        <v>7333</v>
      </c>
      <c r="H293" s="1" t="s">
        <v>77</v>
      </c>
      <c r="I293" s="2">
        <v>46144</v>
      </c>
      <c r="K293" s="1" t="s">
        <v>22</v>
      </c>
      <c r="L293" s="1" t="s">
        <v>22</v>
      </c>
      <c r="M293" s="14" t="str">
        <f>IF(Tabela1[[#This Row],[Data_Desligamento]]="","ATIVO","INATIVO")</f>
        <v>ATIVO</v>
      </c>
      <c r="N293" s="14" t="str">
        <f>TEXT(Tabela1[[#This Row],[Data_Admissão]],"mmm")</f>
        <v>mai</v>
      </c>
      <c r="O293" s="14" t="str">
        <f>TEXT(Tabela1[[#This Row],[Data_Desligamento]],"mmm")</f>
        <v>jan</v>
      </c>
      <c r="P293" s="17">
        <f>YEAR(Tabela1[[#This Row],[Data_Admissão]])</f>
        <v>2026</v>
      </c>
      <c r="Q293" s="17" t="str">
        <f>IF(Tabela1[[#This Row],[Data_Desligamento]]="", "", YEAR(Tabela1[[#This Row],[Data_Desligamento]]))</f>
        <v/>
      </c>
      <c r="R293" s="17"/>
    </row>
    <row r="294" spans="1:18">
      <c r="A294" s="1">
        <v>293</v>
      </c>
      <c r="B294" s="1" t="s">
        <v>393</v>
      </c>
      <c r="C294" s="2">
        <v>38225</v>
      </c>
      <c r="D294" s="1" t="s">
        <v>19</v>
      </c>
      <c r="E294" s="1">
        <v>1272</v>
      </c>
      <c r="F294" s="1" t="s">
        <v>25</v>
      </c>
      <c r="G294" s="10">
        <v>3095</v>
      </c>
      <c r="H294" s="1" t="s">
        <v>26</v>
      </c>
      <c r="I294" s="2">
        <v>46146</v>
      </c>
      <c r="K294" s="1" t="s">
        <v>100</v>
      </c>
      <c r="L294" s="1" t="s">
        <v>22</v>
      </c>
      <c r="M294" s="14" t="str">
        <f>IF(Tabela1[[#This Row],[Data_Desligamento]]="","ATIVO","INATIVO")</f>
        <v>ATIVO</v>
      </c>
      <c r="N294" s="14" t="str">
        <f>TEXT(Tabela1[[#This Row],[Data_Admissão]],"mmm")</f>
        <v>mai</v>
      </c>
      <c r="O294" s="14" t="str">
        <f>TEXT(Tabela1[[#This Row],[Data_Desligamento]],"mmm")</f>
        <v>jan</v>
      </c>
      <c r="P294" s="17">
        <f>YEAR(Tabela1[[#This Row],[Data_Admissão]])</f>
        <v>2026</v>
      </c>
      <c r="Q294" s="17" t="str">
        <f>IF(Tabela1[[#This Row],[Data_Desligamento]]="", "", YEAR(Tabela1[[#This Row],[Data_Desligamento]]))</f>
        <v/>
      </c>
      <c r="R294" s="17"/>
    </row>
    <row r="295" spans="1:18">
      <c r="A295" s="1">
        <v>294</v>
      </c>
      <c r="B295" s="1" t="s">
        <v>394</v>
      </c>
      <c r="C295" s="2">
        <v>30483</v>
      </c>
      <c r="D295" s="1" t="s">
        <v>19</v>
      </c>
      <c r="E295" s="1">
        <v>1019</v>
      </c>
      <c r="F295" s="1" t="s">
        <v>25</v>
      </c>
      <c r="G295" s="10">
        <v>2729</v>
      </c>
      <c r="H295" s="1" t="s">
        <v>26</v>
      </c>
      <c r="I295" s="2">
        <v>46147</v>
      </c>
      <c r="J295" s="2">
        <v>46198</v>
      </c>
      <c r="K295" s="1" t="s">
        <v>103</v>
      </c>
      <c r="L295" s="1" t="s">
        <v>184</v>
      </c>
      <c r="M295" s="14" t="str">
        <f>IF(Tabela1[[#This Row],[Data_Desligamento]]="","ATIVO","INATIVO")</f>
        <v>INATIVO</v>
      </c>
      <c r="N295" s="14" t="str">
        <f>TEXT(Tabela1[[#This Row],[Data_Admissão]],"mmm")</f>
        <v>mai</v>
      </c>
      <c r="O295" s="14" t="str">
        <f>TEXT(Tabela1[[#This Row],[Data_Desligamento]],"mmm")</f>
        <v>jun</v>
      </c>
      <c r="P295" s="17">
        <f>YEAR(Tabela1[[#This Row],[Data_Admissão]])</f>
        <v>2026</v>
      </c>
      <c r="Q295" s="17">
        <f>IF(Tabela1[[#This Row],[Data_Desligamento]]="", "", YEAR(Tabela1[[#This Row],[Data_Desligamento]]))</f>
        <v>2026</v>
      </c>
      <c r="R295" s="17"/>
    </row>
    <row r="296" spans="1:18">
      <c r="A296" s="1">
        <v>295</v>
      </c>
      <c r="B296" s="1" t="s">
        <v>164</v>
      </c>
      <c r="C296" s="2">
        <v>37990</v>
      </c>
      <c r="D296" s="1" t="s">
        <v>19</v>
      </c>
      <c r="E296" s="1">
        <v>1252</v>
      </c>
      <c r="F296" s="1" t="s">
        <v>38</v>
      </c>
      <c r="G296" s="10">
        <v>17041</v>
      </c>
      <c r="H296" s="1" t="s">
        <v>39</v>
      </c>
      <c r="I296" s="2">
        <v>46153</v>
      </c>
      <c r="K296" s="1" t="s">
        <v>105</v>
      </c>
      <c r="L296" s="1" t="s">
        <v>22</v>
      </c>
      <c r="M296" s="14" t="str">
        <f>IF(Tabela1[[#This Row],[Data_Desligamento]]="","ATIVO","INATIVO")</f>
        <v>ATIVO</v>
      </c>
      <c r="N296" s="14" t="str">
        <f>TEXT(Tabela1[[#This Row],[Data_Admissão]],"mmm")</f>
        <v>mai</v>
      </c>
      <c r="O296" s="14" t="str">
        <f>TEXT(Tabela1[[#This Row],[Data_Desligamento]],"mmm")</f>
        <v>jan</v>
      </c>
      <c r="P296" s="17">
        <f>YEAR(Tabela1[[#This Row],[Data_Admissão]])</f>
        <v>2026</v>
      </c>
      <c r="Q296" s="17" t="str">
        <f>IF(Tabela1[[#This Row],[Data_Desligamento]]="", "", YEAR(Tabela1[[#This Row],[Data_Desligamento]]))</f>
        <v/>
      </c>
      <c r="R296" s="17"/>
    </row>
    <row r="297" spans="1:18">
      <c r="A297" s="1">
        <v>296</v>
      </c>
      <c r="B297" s="1" t="s">
        <v>166</v>
      </c>
      <c r="C297" s="2">
        <v>38275</v>
      </c>
      <c r="D297" s="1" t="s">
        <v>19</v>
      </c>
      <c r="E297" s="1">
        <v>1211</v>
      </c>
      <c r="F297" s="1" t="s">
        <v>76</v>
      </c>
      <c r="G297" s="10">
        <v>8571</v>
      </c>
      <c r="H297" s="1" t="s">
        <v>77</v>
      </c>
      <c r="I297" s="2">
        <v>46158</v>
      </c>
      <c r="K297" s="1" t="s">
        <v>107</v>
      </c>
      <c r="L297" s="1" t="s">
        <v>22</v>
      </c>
      <c r="M297" s="14" t="str">
        <f>IF(Tabela1[[#This Row],[Data_Desligamento]]="","ATIVO","INATIVO")</f>
        <v>ATIVO</v>
      </c>
      <c r="N297" s="14" t="str">
        <f>TEXT(Tabela1[[#This Row],[Data_Admissão]],"mmm")</f>
        <v>mai</v>
      </c>
      <c r="O297" s="14" t="str">
        <f>TEXT(Tabela1[[#This Row],[Data_Desligamento]],"mmm")</f>
        <v>jan</v>
      </c>
      <c r="P297" s="17">
        <f>YEAR(Tabela1[[#This Row],[Data_Admissão]])</f>
        <v>2026</v>
      </c>
      <c r="Q297" s="17" t="str">
        <f>IF(Tabela1[[#This Row],[Data_Desligamento]]="", "", YEAR(Tabela1[[#This Row],[Data_Desligamento]]))</f>
        <v/>
      </c>
      <c r="R297" s="17"/>
    </row>
    <row r="298" spans="1:18">
      <c r="A298" s="1">
        <v>297</v>
      </c>
      <c r="B298" s="1" t="s">
        <v>395</v>
      </c>
      <c r="C298" s="2">
        <v>36080</v>
      </c>
      <c r="D298" s="1" t="s">
        <v>19</v>
      </c>
      <c r="E298" s="1">
        <v>1066</v>
      </c>
      <c r="F298" s="1" t="s">
        <v>30</v>
      </c>
      <c r="G298" s="10">
        <v>13691</v>
      </c>
      <c r="H298" s="1" t="s">
        <v>31</v>
      </c>
      <c r="I298" s="2">
        <v>46158</v>
      </c>
      <c r="K298" s="1" t="s">
        <v>22</v>
      </c>
      <c r="L298" s="1" t="s">
        <v>22</v>
      </c>
      <c r="M298" s="14" t="str">
        <f>IF(Tabela1[[#This Row],[Data_Desligamento]]="","ATIVO","INATIVO")</f>
        <v>ATIVO</v>
      </c>
      <c r="N298" s="14" t="str">
        <f>TEXT(Tabela1[[#This Row],[Data_Admissão]],"mmm")</f>
        <v>mai</v>
      </c>
      <c r="O298" s="14" t="str">
        <f>TEXT(Tabela1[[#This Row],[Data_Desligamento]],"mmm")</f>
        <v>jan</v>
      </c>
      <c r="P298" s="17">
        <f>YEAR(Tabela1[[#This Row],[Data_Admissão]])</f>
        <v>2026</v>
      </c>
      <c r="Q298" s="17" t="str">
        <f>IF(Tabela1[[#This Row],[Data_Desligamento]]="", "", YEAR(Tabela1[[#This Row],[Data_Desligamento]]))</f>
        <v/>
      </c>
      <c r="R298" s="17"/>
    </row>
    <row r="299" spans="1:18">
      <c r="A299" s="1">
        <v>298</v>
      </c>
      <c r="B299" s="1" t="s">
        <v>396</v>
      </c>
      <c r="C299" s="2">
        <v>28347</v>
      </c>
      <c r="D299" s="1" t="s">
        <v>19</v>
      </c>
      <c r="E299" s="1">
        <v>1305</v>
      </c>
      <c r="F299" s="1" t="s">
        <v>76</v>
      </c>
      <c r="G299" s="10">
        <v>5337</v>
      </c>
      <c r="H299" s="1" t="s">
        <v>77</v>
      </c>
      <c r="I299" s="2">
        <v>46158</v>
      </c>
      <c r="K299" s="1" t="s">
        <v>109</v>
      </c>
      <c r="L299" s="1" t="s">
        <v>22</v>
      </c>
      <c r="M299" s="14" t="str">
        <f>IF(Tabela1[[#This Row],[Data_Desligamento]]="","ATIVO","INATIVO")</f>
        <v>ATIVO</v>
      </c>
      <c r="N299" s="14" t="str">
        <f>TEXT(Tabela1[[#This Row],[Data_Admissão]],"mmm")</f>
        <v>mai</v>
      </c>
      <c r="O299" s="14" t="str">
        <f>TEXT(Tabela1[[#This Row],[Data_Desligamento]],"mmm")</f>
        <v>jan</v>
      </c>
      <c r="P299" s="17">
        <f>YEAR(Tabela1[[#This Row],[Data_Admissão]])</f>
        <v>2026</v>
      </c>
      <c r="Q299" s="17" t="str">
        <f>IF(Tabela1[[#This Row],[Data_Desligamento]]="", "", YEAR(Tabela1[[#This Row],[Data_Desligamento]]))</f>
        <v/>
      </c>
      <c r="R299" s="17"/>
    </row>
    <row r="300" spans="1:18">
      <c r="A300" s="1">
        <v>299</v>
      </c>
      <c r="B300" s="1" t="s">
        <v>397</v>
      </c>
      <c r="C300" s="2">
        <v>32485</v>
      </c>
      <c r="D300" s="1" t="s">
        <v>19</v>
      </c>
      <c r="E300" s="1">
        <v>1069</v>
      </c>
      <c r="F300" s="1" t="s">
        <v>89</v>
      </c>
      <c r="G300" s="10">
        <v>2781</v>
      </c>
      <c r="H300" s="1" t="s">
        <v>77</v>
      </c>
      <c r="I300" s="2">
        <v>46160</v>
      </c>
      <c r="K300" s="1" t="s">
        <v>113</v>
      </c>
      <c r="L300" s="1" t="s">
        <v>22</v>
      </c>
      <c r="M300" s="14" t="str">
        <f>IF(Tabela1[[#This Row],[Data_Desligamento]]="","ATIVO","INATIVO")</f>
        <v>ATIVO</v>
      </c>
      <c r="N300" s="14" t="str">
        <f>TEXT(Tabela1[[#This Row],[Data_Admissão]],"mmm")</f>
        <v>mai</v>
      </c>
      <c r="O300" s="14" t="str">
        <f>TEXT(Tabela1[[#This Row],[Data_Desligamento]],"mmm")</f>
        <v>jan</v>
      </c>
      <c r="P300" s="17">
        <f>YEAR(Tabela1[[#This Row],[Data_Admissão]])</f>
        <v>2026</v>
      </c>
      <c r="Q300" s="17" t="str">
        <f>IF(Tabela1[[#This Row],[Data_Desligamento]]="", "", YEAR(Tabela1[[#This Row],[Data_Desligamento]]))</f>
        <v/>
      </c>
      <c r="R300" s="17"/>
    </row>
    <row r="301" spans="1:18">
      <c r="A301" s="1">
        <v>300</v>
      </c>
      <c r="B301" s="1" t="s">
        <v>361</v>
      </c>
      <c r="C301" s="2">
        <v>27196</v>
      </c>
      <c r="D301" s="1" t="s">
        <v>19</v>
      </c>
      <c r="E301" s="1">
        <v>1247</v>
      </c>
      <c r="F301" s="1" t="s">
        <v>63</v>
      </c>
      <c r="G301" s="10">
        <v>13886</v>
      </c>
      <c r="H301" s="1" t="s">
        <v>21</v>
      </c>
      <c r="I301" s="2">
        <v>46161</v>
      </c>
      <c r="K301" s="1" t="s">
        <v>115</v>
      </c>
      <c r="L301" s="1" t="s">
        <v>22</v>
      </c>
      <c r="M301" s="14" t="str">
        <f>IF(Tabela1[[#This Row],[Data_Desligamento]]="","ATIVO","INATIVO")</f>
        <v>ATIVO</v>
      </c>
      <c r="N301" s="14" t="str">
        <f>TEXT(Tabela1[[#This Row],[Data_Admissão]],"mmm")</f>
        <v>mai</v>
      </c>
      <c r="O301" s="14" t="str">
        <f>TEXT(Tabela1[[#This Row],[Data_Desligamento]],"mmm")</f>
        <v>jan</v>
      </c>
      <c r="P301" s="17">
        <f>YEAR(Tabela1[[#This Row],[Data_Admissão]])</f>
        <v>2026</v>
      </c>
      <c r="Q301" s="17" t="str">
        <f>IF(Tabela1[[#This Row],[Data_Desligamento]]="", "", YEAR(Tabela1[[#This Row],[Data_Desligamento]]))</f>
        <v/>
      </c>
      <c r="R301" s="17"/>
    </row>
    <row r="302" spans="1:18">
      <c r="A302" s="1">
        <v>301</v>
      </c>
      <c r="B302" s="1" t="s">
        <v>361</v>
      </c>
      <c r="C302" s="2">
        <v>33013</v>
      </c>
      <c r="D302" s="1" t="s">
        <v>19</v>
      </c>
      <c r="E302" s="1">
        <v>1133</v>
      </c>
      <c r="F302" s="1" t="s">
        <v>57</v>
      </c>
      <c r="G302" s="10">
        <v>5523</v>
      </c>
      <c r="H302" s="1" t="s">
        <v>34</v>
      </c>
      <c r="I302" s="2">
        <v>46162</v>
      </c>
      <c r="K302" s="1" t="s">
        <v>118</v>
      </c>
      <c r="L302" s="1" t="s">
        <v>22</v>
      </c>
      <c r="M302" s="14" t="str">
        <f>IF(Tabela1[[#This Row],[Data_Desligamento]]="","ATIVO","INATIVO")</f>
        <v>ATIVO</v>
      </c>
      <c r="N302" s="14" t="str">
        <f>TEXT(Tabela1[[#This Row],[Data_Admissão]],"mmm")</f>
        <v>mai</v>
      </c>
      <c r="O302" s="14" t="str">
        <f>TEXT(Tabela1[[#This Row],[Data_Desligamento]],"mmm")</f>
        <v>jan</v>
      </c>
      <c r="P302" s="17">
        <f>YEAR(Tabela1[[#This Row],[Data_Admissão]])</f>
        <v>2026</v>
      </c>
      <c r="Q302" s="17" t="str">
        <f>IF(Tabela1[[#This Row],[Data_Desligamento]]="", "", YEAR(Tabela1[[#This Row],[Data_Desligamento]]))</f>
        <v/>
      </c>
      <c r="R302" s="17"/>
    </row>
    <row r="303" spans="1:18">
      <c r="A303" s="1">
        <v>302</v>
      </c>
      <c r="B303" s="1" t="s">
        <v>398</v>
      </c>
      <c r="C303" s="2">
        <v>38286</v>
      </c>
      <c r="D303" s="1" t="s">
        <v>19</v>
      </c>
      <c r="E303" s="1">
        <v>1010</v>
      </c>
      <c r="F303" s="1" t="s">
        <v>44</v>
      </c>
      <c r="G303" s="10">
        <v>5151</v>
      </c>
      <c r="H303" s="1" t="s">
        <v>45</v>
      </c>
      <c r="I303" s="2">
        <v>46162</v>
      </c>
      <c r="J303" s="2">
        <v>46196</v>
      </c>
      <c r="K303" s="1" t="s">
        <v>120</v>
      </c>
      <c r="L303" s="1" t="s">
        <v>188</v>
      </c>
      <c r="M303" s="14" t="str">
        <f>IF(Tabela1[[#This Row],[Data_Desligamento]]="","ATIVO","INATIVO")</f>
        <v>INATIVO</v>
      </c>
      <c r="N303" s="14" t="str">
        <f>TEXT(Tabela1[[#This Row],[Data_Admissão]],"mmm")</f>
        <v>mai</v>
      </c>
      <c r="O303" s="14" t="str">
        <f>TEXT(Tabela1[[#This Row],[Data_Desligamento]],"mmm")</f>
        <v>jun</v>
      </c>
      <c r="P303" s="17">
        <f>YEAR(Tabela1[[#This Row],[Data_Admissão]])</f>
        <v>2026</v>
      </c>
      <c r="Q303" s="17">
        <f>IF(Tabela1[[#This Row],[Data_Desligamento]]="", "", YEAR(Tabela1[[#This Row],[Data_Desligamento]]))</f>
        <v>2026</v>
      </c>
      <c r="R303" s="17"/>
    </row>
    <row r="304" spans="1:18">
      <c r="A304" s="1">
        <v>303</v>
      </c>
      <c r="B304" s="1" t="s">
        <v>193</v>
      </c>
      <c r="C304" s="2">
        <v>31115</v>
      </c>
      <c r="D304" s="1" t="s">
        <v>19</v>
      </c>
      <c r="E304" s="1">
        <v>1287</v>
      </c>
      <c r="F304" s="1" t="s">
        <v>30</v>
      </c>
      <c r="G304" s="10">
        <v>12840</v>
      </c>
      <c r="H304" s="1" t="s">
        <v>31</v>
      </c>
      <c r="I304" s="2">
        <v>46174</v>
      </c>
      <c r="K304" s="1" t="s">
        <v>22</v>
      </c>
      <c r="L304" s="1" t="s">
        <v>22</v>
      </c>
      <c r="M304" s="14" t="str">
        <f>IF(Tabela1[[#This Row],[Data_Desligamento]]="","ATIVO","INATIVO")</f>
        <v>ATIVO</v>
      </c>
      <c r="N304" s="14" t="str">
        <f>TEXT(Tabela1[[#This Row],[Data_Admissão]],"mmm")</f>
        <v>jun</v>
      </c>
      <c r="O304" s="14" t="str">
        <f>TEXT(Tabela1[[#This Row],[Data_Desligamento]],"mmm")</f>
        <v>jan</v>
      </c>
      <c r="P304" s="17">
        <f>YEAR(Tabela1[[#This Row],[Data_Admissão]])</f>
        <v>2026</v>
      </c>
      <c r="Q304" s="17" t="str">
        <f>IF(Tabela1[[#This Row],[Data_Desligamento]]="", "", YEAR(Tabela1[[#This Row],[Data_Desligamento]]))</f>
        <v/>
      </c>
      <c r="R304" s="17"/>
    </row>
    <row r="305" spans="1:18">
      <c r="A305" s="1">
        <v>304</v>
      </c>
      <c r="B305" s="1" t="s">
        <v>399</v>
      </c>
      <c r="C305" s="2">
        <v>38226</v>
      </c>
      <c r="D305" s="1" t="s">
        <v>19</v>
      </c>
      <c r="E305" s="1">
        <v>1139</v>
      </c>
      <c r="F305" s="1" t="s">
        <v>57</v>
      </c>
      <c r="G305" s="10">
        <v>3963</v>
      </c>
      <c r="H305" s="1" t="s">
        <v>34</v>
      </c>
      <c r="I305" s="2">
        <v>46179</v>
      </c>
      <c r="K305" s="1" t="s">
        <v>123</v>
      </c>
      <c r="L305" s="1" t="s">
        <v>22</v>
      </c>
      <c r="M305" s="14" t="str">
        <f>IF(Tabela1[[#This Row],[Data_Desligamento]]="","ATIVO","INATIVO")</f>
        <v>ATIVO</v>
      </c>
      <c r="N305" s="14" t="str">
        <f>TEXT(Tabela1[[#This Row],[Data_Admissão]],"mmm")</f>
        <v>jun</v>
      </c>
      <c r="O305" s="14" t="str">
        <f>TEXT(Tabela1[[#This Row],[Data_Desligamento]],"mmm")</f>
        <v>jan</v>
      </c>
      <c r="P305" s="17">
        <f>YEAR(Tabela1[[#This Row],[Data_Admissão]])</f>
        <v>2026</v>
      </c>
      <c r="Q305" s="17" t="str">
        <f>IF(Tabela1[[#This Row],[Data_Desligamento]]="", "", YEAR(Tabela1[[#This Row],[Data_Desligamento]]))</f>
        <v/>
      </c>
      <c r="R305" s="17"/>
    </row>
    <row r="306" spans="1:18">
      <c r="A306" s="1">
        <v>305</v>
      </c>
      <c r="B306" s="1" t="s">
        <v>400</v>
      </c>
      <c r="C306" s="2">
        <v>30609</v>
      </c>
      <c r="D306" s="1" t="s">
        <v>19</v>
      </c>
      <c r="E306" s="1">
        <v>1071</v>
      </c>
      <c r="F306" s="1" t="s">
        <v>68</v>
      </c>
      <c r="G306" s="10">
        <v>3022</v>
      </c>
      <c r="H306" s="1" t="s">
        <v>54</v>
      </c>
      <c r="I306" s="2">
        <v>46180</v>
      </c>
      <c r="K306" s="1" t="s">
        <v>22</v>
      </c>
      <c r="L306" s="1" t="s">
        <v>22</v>
      </c>
      <c r="M306" s="14" t="str">
        <f>IF(Tabela1[[#This Row],[Data_Desligamento]]="","ATIVO","INATIVO")</f>
        <v>ATIVO</v>
      </c>
      <c r="N306" s="14" t="str">
        <f>TEXT(Tabela1[[#This Row],[Data_Admissão]],"mmm")</f>
        <v>jun</v>
      </c>
      <c r="O306" s="14" t="str">
        <f>TEXT(Tabela1[[#This Row],[Data_Desligamento]],"mmm")</f>
        <v>jan</v>
      </c>
      <c r="P306" s="17">
        <f>YEAR(Tabela1[[#This Row],[Data_Admissão]])</f>
        <v>2026</v>
      </c>
      <c r="Q306" s="17" t="str">
        <f>IF(Tabela1[[#This Row],[Data_Desligamento]]="", "", YEAR(Tabela1[[#This Row],[Data_Desligamento]]))</f>
        <v/>
      </c>
      <c r="R306" s="17"/>
    </row>
    <row r="307" spans="1:18">
      <c r="A307" s="1">
        <v>306</v>
      </c>
      <c r="B307" s="1" t="s">
        <v>401</v>
      </c>
      <c r="C307" s="2">
        <v>38657</v>
      </c>
      <c r="D307" s="1" t="s">
        <v>19</v>
      </c>
      <c r="E307" s="1">
        <v>1122</v>
      </c>
      <c r="F307" s="1" t="s">
        <v>20</v>
      </c>
      <c r="G307" s="10">
        <v>2648</v>
      </c>
      <c r="H307" s="1" t="s">
        <v>21</v>
      </c>
      <c r="I307" s="2">
        <v>46196</v>
      </c>
      <c r="K307" s="1" t="s">
        <v>22</v>
      </c>
      <c r="L307" s="1" t="s">
        <v>22</v>
      </c>
      <c r="M307" s="14" t="str">
        <f>IF(Tabela1[[#This Row],[Data_Desligamento]]="","ATIVO","INATIVO")</f>
        <v>ATIVO</v>
      </c>
      <c r="N307" s="14" t="str">
        <f>TEXT(Tabela1[[#This Row],[Data_Admissão]],"mmm")</f>
        <v>jun</v>
      </c>
      <c r="O307" s="14" t="str">
        <f>TEXT(Tabela1[[#This Row],[Data_Desligamento]],"mmm")</f>
        <v>jan</v>
      </c>
      <c r="P307" s="17">
        <f>YEAR(Tabela1[[#This Row],[Data_Admissão]])</f>
        <v>2026</v>
      </c>
      <c r="Q307" s="17" t="str">
        <f>IF(Tabela1[[#This Row],[Data_Desligamento]]="", "", YEAR(Tabela1[[#This Row],[Data_Desligamento]]))</f>
        <v/>
      </c>
      <c r="R307" s="17"/>
    </row>
    <row r="308" spans="1:18">
      <c r="A308" s="1">
        <v>307</v>
      </c>
      <c r="B308" s="1" t="s">
        <v>402</v>
      </c>
      <c r="C308" s="2">
        <v>31321</v>
      </c>
      <c r="D308" s="1" t="s">
        <v>19</v>
      </c>
      <c r="E308" s="1">
        <v>1097</v>
      </c>
      <c r="F308" s="1" t="s">
        <v>25</v>
      </c>
      <c r="G308" s="10">
        <v>3567</v>
      </c>
      <c r="H308" s="1" t="s">
        <v>26</v>
      </c>
      <c r="I308" s="2">
        <v>46196</v>
      </c>
      <c r="J308" s="2">
        <v>46220</v>
      </c>
      <c r="K308" s="1" t="s">
        <v>125</v>
      </c>
      <c r="L308" s="1" t="s">
        <v>191</v>
      </c>
      <c r="M308" s="14" t="str">
        <f>IF(Tabela1[[#This Row],[Data_Desligamento]]="","ATIVO","INATIVO")</f>
        <v>INATIVO</v>
      </c>
      <c r="N308" s="14" t="str">
        <f>TEXT(Tabela1[[#This Row],[Data_Admissão]],"mmm")</f>
        <v>jun</v>
      </c>
      <c r="O308" s="14" t="str">
        <f>TEXT(Tabela1[[#This Row],[Data_Desligamento]],"mmm")</f>
        <v>jul</v>
      </c>
      <c r="P308" s="17">
        <f>YEAR(Tabela1[[#This Row],[Data_Admissão]])</f>
        <v>2026</v>
      </c>
      <c r="Q308" s="17">
        <f>IF(Tabela1[[#This Row],[Data_Desligamento]]="", "", YEAR(Tabela1[[#This Row],[Data_Desligamento]]))</f>
        <v>2026</v>
      </c>
      <c r="R308" s="17"/>
    </row>
    <row r="309" spans="1:18">
      <c r="A309" s="1">
        <v>308</v>
      </c>
      <c r="B309" s="1" t="s">
        <v>403</v>
      </c>
      <c r="C309" s="2">
        <v>38524</v>
      </c>
      <c r="D309" s="1" t="s">
        <v>19</v>
      </c>
      <c r="E309" s="1">
        <v>1251</v>
      </c>
      <c r="F309" s="1" t="s">
        <v>38</v>
      </c>
      <c r="G309" s="10">
        <v>10392</v>
      </c>
      <c r="H309" s="1" t="s">
        <v>39</v>
      </c>
      <c r="I309" s="2">
        <v>46196</v>
      </c>
      <c r="J309" s="2">
        <v>46256</v>
      </c>
      <c r="K309" s="1" t="s">
        <v>22</v>
      </c>
      <c r="L309" s="1" t="s">
        <v>197</v>
      </c>
      <c r="M309" s="14" t="str">
        <f>IF(Tabela1[[#This Row],[Data_Desligamento]]="","ATIVO","INATIVO")</f>
        <v>INATIVO</v>
      </c>
      <c r="N309" s="14" t="str">
        <f>TEXT(Tabela1[[#This Row],[Data_Admissão]],"mmm")</f>
        <v>jun</v>
      </c>
      <c r="O309" s="14" t="str">
        <f>TEXT(Tabela1[[#This Row],[Data_Desligamento]],"mmm")</f>
        <v>ago</v>
      </c>
      <c r="P309" s="17">
        <f>YEAR(Tabela1[[#This Row],[Data_Admissão]])</f>
        <v>2026</v>
      </c>
      <c r="Q309" s="17">
        <f>IF(Tabela1[[#This Row],[Data_Desligamento]]="", "", YEAR(Tabela1[[#This Row],[Data_Desligamento]]))</f>
        <v>2026</v>
      </c>
      <c r="R309" s="17"/>
    </row>
    <row r="310" spans="1:18">
      <c r="A310" s="1">
        <v>309</v>
      </c>
      <c r="B310" s="1" t="s">
        <v>404</v>
      </c>
      <c r="C310" s="2">
        <v>30245</v>
      </c>
      <c r="D310" s="1" t="s">
        <v>19</v>
      </c>
      <c r="E310" s="1">
        <v>1012</v>
      </c>
      <c r="F310" s="1" t="s">
        <v>44</v>
      </c>
      <c r="G310" s="10">
        <v>5402</v>
      </c>
      <c r="H310" s="1" t="s">
        <v>45</v>
      </c>
      <c r="I310" s="2">
        <v>46200</v>
      </c>
      <c r="K310" s="1" t="s">
        <v>22</v>
      </c>
      <c r="L310" s="1" t="s">
        <v>22</v>
      </c>
      <c r="M310" s="14" t="str">
        <f>IF(Tabela1[[#This Row],[Data_Desligamento]]="","ATIVO","INATIVO")</f>
        <v>ATIVO</v>
      </c>
      <c r="N310" s="14" t="str">
        <f>TEXT(Tabela1[[#This Row],[Data_Admissão]],"mmm")</f>
        <v>jun</v>
      </c>
      <c r="O310" s="14" t="str">
        <f>TEXT(Tabela1[[#This Row],[Data_Desligamento]],"mmm")</f>
        <v>jan</v>
      </c>
      <c r="P310" s="17">
        <f>YEAR(Tabela1[[#This Row],[Data_Admissão]])</f>
        <v>2026</v>
      </c>
      <c r="Q310" s="17" t="str">
        <f>IF(Tabela1[[#This Row],[Data_Desligamento]]="", "", YEAR(Tabela1[[#This Row],[Data_Desligamento]]))</f>
        <v/>
      </c>
      <c r="R310" s="17"/>
    </row>
    <row r="311" spans="1:18">
      <c r="A311" s="1">
        <v>310</v>
      </c>
      <c r="B311" s="1" t="s">
        <v>405</v>
      </c>
      <c r="C311" s="2">
        <v>37927</v>
      </c>
      <c r="D311" s="1" t="s">
        <v>19</v>
      </c>
      <c r="E311" s="1">
        <v>1309</v>
      </c>
      <c r="F311" s="1" t="s">
        <v>81</v>
      </c>
      <c r="G311" s="10">
        <v>1912</v>
      </c>
      <c r="H311" s="1" t="s">
        <v>45</v>
      </c>
      <c r="I311" s="2">
        <v>46212</v>
      </c>
      <c r="K311" s="1" t="s">
        <v>127</v>
      </c>
      <c r="L311" s="1" t="s">
        <v>22</v>
      </c>
      <c r="M311" s="14" t="str">
        <f>IF(Tabela1[[#This Row],[Data_Desligamento]]="","ATIVO","INATIVO")</f>
        <v>ATIVO</v>
      </c>
      <c r="N311" s="14" t="str">
        <f>TEXT(Tabela1[[#This Row],[Data_Admissão]],"mmm")</f>
        <v>jul</v>
      </c>
      <c r="O311" s="14" t="str">
        <f>TEXT(Tabela1[[#This Row],[Data_Desligamento]],"mmm")</f>
        <v>jan</v>
      </c>
      <c r="P311" s="17">
        <f>YEAR(Tabela1[[#This Row],[Data_Admissão]])</f>
        <v>2026</v>
      </c>
      <c r="Q311" s="17" t="str">
        <f>IF(Tabela1[[#This Row],[Data_Desligamento]]="", "", YEAR(Tabela1[[#This Row],[Data_Desligamento]]))</f>
        <v/>
      </c>
      <c r="R311" s="17"/>
    </row>
    <row r="312" spans="1:18">
      <c r="A312" s="1">
        <v>311</v>
      </c>
      <c r="B312" s="1" t="s">
        <v>406</v>
      </c>
      <c r="C312" s="2">
        <v>37612</v>
      </c>
      <c r="D312" s="1" t="s">
        <v>19</v>
      </c>
      <c r="E312" s="1">
        <v>1050</v>
      </c>
      <c r="F312" s="1" t="s">
        <v>33</v>
      </c>
      <c r="G312" s="10">
        <v>3852</v>
      </c>
      <c r="H312" s="1" t="s">
        <v>34</v>
      </c>
      <c r="I312" s="2">
        <v>46212</v>
      </c>
      <c r="K312" s="1" t="s">
        <v>130</v>
      </c>
      <c r="L312" s="1" t="s">
        <v>22</v>
      </c>
      <c r="M312" s="14" t="str">
        <f>IF(Tabela1[[#This Row],[Data_Desligamento]]="","ATIVO","INATIVO")</f>
        <v>ATIVO</v>
      </c>
      <c r="N312" s="14" t="str">
        <f>TEXT(Tabela1[[#This Row],[Data_Admissão]],"mmm")</f>
        <v>jul</v>
      </c>
      <c r="O312" s="14" t="str">
        <f>TEXT(Tabela1[[#This Row],[Data_Desligamento]],"mmm")</f>
        <v>jan</v>
      </c>
      <c r="P312" s="17">
        <f>YEAR(Tabela1[[#This Row],[Data_Admissão]])</f>
        <v>2026</v>
      </c>
      <c r="Q312" s="17" t="str">
        <f>IF(Tabela1[[#This Row],[Data_Desligamento]]="", "", YEAR(Tabela1[[#This Row],[Data_Desligamento]]))</f>
        <v/>
      </c>
      <c r="R312" s="17"/>
    </row>
    <row r="313" spans="1:18">
      <c r="A313" s="1">
        <v>312</v>
      </c>
      <c r="B313" s="1" t="s">
        <v>39</v>
      </c>
      <c r="C313" s="2">
        <v>38242</v>
      </c>
      <c r="D313" s="1" t="s">
        <v>19</v>
      </c>
      <c r="E313" s="1">
        <v>1339</v>
      </c>
      <c r="F313" s="1" t="s">
        <v>44</v>
      </c>
      <c r="G313" s="10">
        <v>7190</v>
      </c>
      <c r="H313" s="1" t="s">
        <v>45</v>
      </c>
      <c r="I313" s="2">
        <v>46214</v>
      </c>
      <c r="K313" s="1" t="s">
        <v>133</v>
      </c>
      <c r="L313" s="1" t="s">
        <v>22</v>
      </c>
      <c r="M313" s="14" t="str">
        <f>IF(Tabela1[[#This Row],[Data_Desligamento]]="","ATIVO","INATIVO")</f>
        <v>ATIVO</v>
      </c>
      <c r="N313" s="14" t="str">
        <f>TEXT(Tabela1[[#This Row],[Data_Admissão]],"mmm")</f>
        <v>jul</v>
      </c>
      <c r="O313" s="14" t="str">
        <f>TEXT(Tabela1[[#This Row],[Data_Desligamento]],"mmm")</f>
        <v>jan</v>
      </c>
      <c r="P313" s="17">
        <f>YEAR(Tabela1[[#This Row],[Data_Admissão]])</f>
        <v>2026</v>
      </c>
      <c r="Q313" s="17" t="str">
        <f>IF(Tabela1[[#This Row],[Data_Desligamento]]="", "", YEAR(Tabela1[[#This Row],[Data_Desligamento]]))</f>
        <v/>
      </c>
      <c r="R313" s="17"/>
    </row>
    <row r="314" spans="1:18">
      <c r="A314" s="1">
        <v>313</v>
      </c>
      <c r="B314" s="1" t="s">
        <v>407</v>
      </c>
      <c r="C314" s="2">
        <v>37338</v>
      </c>
      <c r="D314" s="1" t="s">
        <v>19</v>
      </c>
      <c r="E314" s="1">
        <v>1278</v>
      </c>
      <c r="F314" s="1" t="s">
        <v>48</v>
      </c>
      <c r="G314" s="10">
        <v>3799</v>
      </c>
      <c r="H314" s="1" t="s">
        <v>26</v>
      </c>
      <c r="I314" s="2">
        <v>46215</v>
      </c>
      <c r="J314" s="2">
        <v>46252</v>
      </c>
      <c r="K314" s="1" t="s">
        <v>22</v>
      </c>
      <c r="L314" s="1" t="s">
        <v>201</v>
      </c>
      <c r="M314" s="14" t="str">
        <f>IF(Tabela1[[#This Row],[Data_Desligamento]]="","ATIVO","INATIVO")</f>
        <v>INATIVO</v>
      </c>
      <c r="N314" s="14" t="str">
        <f>TEXT(Tabela1[[#This Row],[Data_Admissão]],"mmm")</f>
        <v>jul</v>
      </c>
      <c r="O314" s="14" t="str">
        <f>TEXT(Tabela1[[#This Row],[Data_Desligamento]],"mmm")</f>
        <v>ago</v>
      </c>
      <c r="P314" s="17">
        <f>YEAR(Tabela1[[#This Row],[Data_Admissão]])</f>
        <v>2026</v>
      </c>
      <c r="Q314" s="17">
        <f>IF(Tabela1[[#This Row],[Data_Desligamento]]="", "", YEAR(Tabela1[[#This Row],[Data_Desligamento]]))</f>
        <v>2026</v>
      </c>
      <c r="R314" s="17"/>
    </row>
    <row r="315" spans="1:18">
      <c r="A315" s="1">
        <v>314</v>
      </c>
      <c r="B315" s="1" t="s">
        <v>408</v>
      </c>
      <c r="C315" s="2">
        <v>31189</v>
      </c>
      <c r="D315" s="1" t="s">
        <v>19</v>
      </c>
      <c r="E315" s="1">
        <v>1180</v>
      </c>
      <c r="F315" s="1" t="s">
        <v>89</v>
      </c>
      <c r="G315" s="10">
        <v>3516</v>
      </c>
      <c r="H315" s="1" t="s">
        <v>77</v>
      </c>
      <c r="I315" s="2">
        <v>46217</v>
      </c>
      <c r="K315" s="1" t="s">
        <v>135</v>
      </c>
      <c r="L315" s="1" t="s">
        <v>22</v>
      </c>
      <c r="M315" s="14" t="str">
        <f>IF(Tabela1[[#This Row],[Data_Desligamento]]="","ATIVO","INATIVO")</f>
        <v>ATIVO</v>
      </c>
      <c r="N315" s="14" t="str">
        <f>TEXT(Tabela1[[#This Row],[Data_Admissão]],"mmm")</f>
        <v>jul</v>
      </c>
      <c r="O315" s="14" t="str">
        <f>TEXT(Tabela1[[#This Row],[Data_Desligamento]],"mmm")</f>
        <v>jan</v>
      </c>
      <c r="P315" s="17">
        <f>YEAR(Tabela1[[#This Row],[Data_Admissão]])</f>
        <v>2026</v>
      </c>
      <c r="Q315" s="17" t="str">
        <f>IF(Tabela1[[#This Row],[Data_Desligamento]]="", "", YEAR(Tabela1[[#This Row],[Data_Desligamento]]))</f>
        <v/>
      </c>
      <c r="R315" s="17"/>
    </row>
    <row r="316" spans="1:18">
      <c r="A316" s="1">
        <v>315</v>
      </c>
      <c r="B316" s="1" t="s">
        <v>409</v>
      </c>
      <c r="C316" s="2">
        <v>38373</v>
      </c>
      <c r="D316" s="1" t="s">
        <v>19</v>
      </c>
      <c r="E316" s="1">
        <v>1164</v>
      </c>
      <c r="F316" s="1" t="s">
        <v>63</v>
      </c>
      <c r="G316" s="10">
        <v>12174</v>
      </c>
      <c r="H316" s="1" t="s">
        <v>21</v>
      </c>
      <c r="I316" s="2">
        <v>46219</v>
      </c>
      <c r="K316" s="1" t="s">
        <v>140</v>
      </c>
      <c r="L316" s="1" t="s">
        <v>22</v>
      </c>
      <c r="M316" s="14" t="str">
        <f>IF(Tabela1[[#This Row],[Data_Desligamento]]="","ATIVO","INATIVO")</f>
        <v>ATIVO</v>
      </c>
      <c r="N316" s="14" t="str">
        <f>TEXT(Tabela1[[#This Row],[Data_Admissão]],"mmm")</f>
        <v>jul</v>
      </c>
      <c r="O316" s="14" t="str">
        <f>TEXT(Tabela1[[#This Row],[Data_Desligamento]],"mmm")</f>
        <v>jan</v>
      </c>
      <c r="P316" s="17">
        <f>YEAR(Tabela1[[#This Row],[Data_Admissão]])</f>
        <v>2026</v>
      </c>
      <c r="Q316" s="17" t="str">
        <f>IF(Tabela1[[#This Row],[Data_Desligamento]]="", "", YEAR(Tabela1[[#This Row],[Data_Desligamento]]))</f>
        <v/>
      </c>
      <c r="R316" s="17"/>
    </row>
    <row r="317" spans="1:18">
      <c r="A317" s="1">
        <v>316</v>
      </c>
      <c r="B317" s="1" t="s">
        <v>410</v>
      </c>
      <c r="C317" s="2">
        <v>31204</v>
      </c>
      <c r="D317" s="1" t="s">
        <v>19</v>
      </c>
      <c r="E317" s="1">
        <v>1192</v>
      </c>
      <c r="F317" s="1" t="s">
        <v>53</v>
      </c>
      <c r="G317" s="10">
        <v>4081</v>
      </c>
      <c r="H317" s="1" t="s">
        <v>54</v>
      </c>
      <c r="I317" s="2">
        <v>46220</v>
      </c>
      <c r="K317" s="1" t="s">
        <v>22</v>
      </c>
      <c r="L317" s="1" t="s">
        <v>22</v>
      </c>
      <c r="M317" s="14" t="str">
        <f>IF(Tabela1[[#This Row],[Data_Desligamento]]="","ATIVO","INATIVO")</f>
        <v>ATIVO</v>
      </c>
      <c r="N317" s="14" t="str">
        <f>TEXT(Tabela1[[#This Row],[Data_Admissão]],"mmm")</f>
        <v>jul</v>
      </c>
      <c r="O317" s="14" t="str">
        <f>TEXT(Tabela1[[#This Row],[Data_Desligamento]],"mmm")</f>
        <v>jan</v>
      </c>
      <c r="P317" s="17">
        <f>YEAR(Tabela1[[#This Row],[Data_Admissão]])</f>
        <v>2026</v>
      </c>
      <c r="Q317" s="17" t="str">
        <f>IF(Tabela1[[#This Row],[Data_Desligamento]]="", "", YEAR(Tabela1[[#This Row],[Data_Desligamento]]))</f>
        <v/>
      </c>
      <c r="R317" s="17"/>
    </row>
    <row r="318" spans="1:18">
      <c r="A318" s="1">
        <v>317</v>
      </c>
      <c r="B318" s="1" t="s">
        <v>411</v>
      </c>
      <c r="C318" s="2">
        <v>33692</v>
      </c>
      <c r="D318" s="1" t="s">
        <v>19</v>
      </c>
      <c r="E318" s="1">
        <v>1222</v>
      </c>
      <c r="F318" s="1" t="s">
        <v>20</v>
      </c>
      <c r="G318" s="10">
        <v>3137</v>
      </c>
      <c r="H318" s="1" t="s">
        <v>21</v>
      </c>
      <c r="I318" s="2">
        <v>46225</v>
      </c>
      <c r="J318" s="2">
        <v>46375</v>
      </c>
      <c r="K318" s="1" t="s">
        <v>22</v>
      </c>
      <c r="L318" s="1" t="s">
        <v>209</v>
      </c>
      <c r="M318" s="14" t="str">
        <f>IF(Tabela1[[#This Row],[Data_Desligamento]]="","ATIVO","INATIVO")</f>
        <v>INATIVO</v>
      </c>
      <c r="N318" s="14" t="str">
        <f>TEXT(Tabela1[[#This Row],[Data_Admissão]],"mmm")</f>
        <v>jul</v>
      </c>
      <c r="O318" s="14" t="str">
        <f>TEXT(Tabela1[[#This Row],[Data_Desligamento]],"mmm")</f>
        <v>dez</v>
      </c>
      <c r="P318" s="17">
        <f>YEAR(Tabela1[[#This Row],[Data_Admissão]])</f>
        <v>2026</v>
      </c>
      <c r="Q318" s="17">
        <f>IF(Tabela1[[#This Row],[Data_Desligamento]]="", "", YEAR(Tabela1[[#This Row],[Data_Desligamento]]))</f>
        <v>2026</v>
      </c>
      <c r="R318" s="17"/>
    </row>
    <row r="319" spans="1:18">
      <c r="A319" s="1">
        <v>318</v>
      </c>
      <c r="B319" s="1" t="s">
        <v>393</v>
      </c>
      <c r="C319" s="2">
        <v>37577</v>
      </c>
      <c r="D319" s="1" t="s">
        <v>19</v>
      </c>
      <c r="E319" s="1">
        <v>1334</v>
      </c>
      <c r="F319" s="1" t="s">
        <v>68</v>
      </c>
      <c r="G319" s="10">
        <v>2991</v>
      </c>
      <c r="H319" s="1" t="s">
        <v>54</v>
      </c>
      <c r="I319" s="2">
        <v>46227</v>
      </c>
      <c r="K319" s="1" t="s">
        <v>142</v>
      </c>
      <c r="L319" s="1" t="s">
        <v>22</v>
      </c>
      <c r="M319" s="14" t="str">
        <f>IF(Tabela1[[#This Row],[Data_Desligamento]]="","ATIVO","INATIVO")</f>
        <v>ATIVO</v>
      </c>
      <c r="N319" s="14" t="str">
        <f>TEXT(Tabela1[[#This Row],[Data_Admissão]],"mmm")</f>
        <v>jul</v>
      </c>
      <c r="O319" s="14" t="str">
        <f>TEXT(Tabela1[[#This Row],[Data_Desligamento]],"mmm")</f>
        <v>jan</v>
      </c>
      <c r="P319" s="17">
        <f>YEAR(Tabela1[[#This Row],[Data_Admissão]])</f>
        <v>2026</v>
      </c>
      <c r="Q319" s="17" t="str">
        <f>IF(Tabela1[[#This Row],[Data_Desligamento]]="", "", YEAR(Tabela1[[#This Row],[Data_Desligamento]]))</f>
        <v/>
      </c>
      <c r="R319" s="17"/>
    </row>
    <row r="320" spans="1:18">
      <c r="A320" s="1">
        <v>319</v>
      </c>
      <c r="B320" s="1" t="s">
        <v>412</v>
      </c>
      <c r="C320" s="2">
        <v>38523</v>
      </c>
      <c r="D320" s="1" t="s">
        <v>19</v>
      </c>
      <c r="E320" s="1">
        <v>1349</v>
      </c>
      <c r="F320" s="1" t="s">
        <v>44</v>
      </c>
      <c r="G320" s="10">
        <v>7895</v>
      </c>
      <c r="H320" s="1" t="s">
        <v>45</v>
      </c>
      <c r="I320" s="2">
        <v>46231</v>
      </c>
      <c r="J320" s="2">
        <v>46299</v>
      </c>
      <c r="K320" s="1" t="s">
        <v>22</v>
      </c>
      <c r="L320" s="1" t="s">
        <v>221</v>
      </c>
      <c r="M320" s="14" t="str">
        <f>IF(Tabela1[[#This Row],[Data_Desligamento]]="","ATIVO","INATIVO")</f>
        <v>INATIVO</v>
      </c>
      <c r="N320" s="14" t="str">
        <f>TEXT(Tabela1[[#This Row],[Data_Admissão]],"mmm")</f>
        <v>jul</v>
      </c>
      <c r="O320" s="14" t="str">
        <f>TEXT(Tabela1[[#This Row],[Data_Desligamento]],"mmm")</f>
        <v>out</v>
      </c>
      <c r="P320" s="17">
        <f>YEAR(Tabela1[[#This Row],[Data_Admissão]])</f>
        <v>2026</v>
      </c>
      <c r="Q320" s="17">
        <f>IF(Tabela1[[#This Row],[Data_Desligamento]]="", "", YEAR(Tabela1[[#This Row],[Data_Desligamento]]))</f>
        <v>2026</v>
      </c>
      <c r="R320" s="17"/>
    </row>
    <row r="321" spans="1:18">
      <c r="A321" s="1">
        <v>320</v>
      </c>
      <c r="B321" s="1" t="s">
        <v>413</v>
      </c>
      <c r="C321" s="2">
        <v>33023</v>
      </c>
      <c r="D321" s="1" t="s">
        <v>19</v>
      </c>
      <c r="E321" s="1">
        <v>1053</v>
      </c>
      <c r="F321" s="1" t="s">
        <v>63</v>
      </c>
      <c r="G321" s="10">
        <v>12250</v>
      </c>
      <c r="H321" s="1" t="s">
        <v>21</v>
      </c>
      <c r="I321" s="2">
        <v>46237</v>
      </c>
      <c r="K321" s="1" t="s">
        <v>146</v>
      </c>
      <c r="L321" s="1" t="s">
        <v>22</v>
      </c>
      <c r="M321" s="14" t="str">
        <f>IF(Tabela1[[#This Row],[Data_Desligamento]]="","ATIVO","INATIVO")</f>
        <v>ATIVO</v>
      </c>
      <c r="N321" s="14" t="str">
        <f>TEXT(Tabela1[[#This Row],[Data_Admissão]],"mmm")</f>
        <v>ago</v>
      </c>
      <c r="O321" s="14" t="str">
        <f>TEXT(Tabela1[[#This Row],[Data_Desligamento]],"mmm")</f>
        <v>jan</v>
      </c>
      <c r="P321" s="17">
        <f>YEAR(Tabela1[[#This Row],[Data_Admissão]])</f>
        <v>2026</v>
      </c>
      <c r="Q321" s="17" t="str">
        <f>IF(Tabela1[[#This Row],[Data_Desligamento]]="", "", YEAR(Tabela1[[#This Row],[Data_Desligamento]]))</f>
        <v/>
      </c>
      <c r="R321" s="17"/>
    </row>
    <row r="322" spans="1:18">
      <c r="A322" s="1">
        <v>321</v>
      </c>
      <c r="B322" s="1" t="s">
        <v>414</v>
      </c>
      <c r="C322" s="2">
        <v>28318</v>
      </c>
      <c r="D322" s="1" t="s">
        <v>19</v>
      </c>
      <c r="E322" s="1">
        <v>1311</v>
      </c>
      <c r="F322" s="1" t="s">
        <v>20</v>
      </c>
      <c r="G322" s="10">
        <v>3792</v>
      </c>
      <c r="H322" s="1" t="s">
        <v>21</v>
      </c>
      <c r="I322" s="2">
        <v>46238</v>
      </c>
      <c r="K322" s="1" t="s">
        <v>22</v>
      </c>
      <c r="L322" s="1" t="s">
        <v>22</v>
      </c>
      <c r="M322" s="14" t="str">
        <f>IF(Tabela1[[#This Row],[Data_Desligamento]]="","ATIVO","INATIVO")</f>
        <v>ATIVO</v>
      </c>
      <c r="N322" s="14" t="str">
        <f>TEXT(Tabela1[[#This Row],[Data_Admissão]],"mmm")</f>
        <v>ago</v>
      </c>
      <c r="O322" s="14" t="str">
        <f>TEXT(Tabela1[[#This Row],[Data_Desligamento]],"mmm")</f>
        <v>jan</v>
      </c>
      <c r="P322" s="17">
        <f>YEAR(Tabela1[[#This Row],[Data_Admissão]])</f>
        <v>2026</v>
      </c>
      <c r="Q322" s="17" t="str">
        <f>IF(Tabela1[[#This Row],[Data_Desligamento]]="", "", YEAR(Tabela1[[#This Row],[Data_Desligamento]]))</f>
        <v/>
      </c>
      <c r="R322" s="17"/>
    </row>
    <row r="323" spans="1:18">
      <c r="A323" s="1">
        <v>322</v>
      </c>
      <c r="B323" s="1" t="s">
        <v>415</v>
      </c>
      <c r="C323" s="2">
        <v>33677</v>
      </c>
      <c r="D323" s="1" t="s">
        <v>19</v>
      </c>
      <c r="E323" s="1">
        <v>1325</v>
      </c>
      <c r="F323" s="1" t="s">
        <v>81</v>
      </c>
      <c r="G323" s="10">
        <v>1492</v>
      </c>
      <c r="H323" s="1" t="s">
        <v>45</v>
      </c>
      <c r="I323" s="2">
        <v>46241</v>
      </c>
      <c r="K323" s="1" t="s">
        <v>22</v>
      </c>
      <c r="L323" s="1" t="s">
        <v>22</v>
      </c>
      <c r="M323" s="14" t="str">
        <f>IF(Tabela1[[#This Row],[Data_Desligamento]]="","ATIVO","INATIVO")</f>
        <v>ATIVO</v>
      </c>
      <c r="N323" s="14" t="str">
        <f>TEXT(Tabela1[[#This Row],[Data_Admissão]],"mmm")</f>
        <v>ago</v>
      </c>
      <c r="O323" s="14" t="str">
        <f>TEXT(Tabela1[[#This Row],[Data_Desligamento]],"mmm")</f>
        <v>jan</v>
      </c>
      <c r="P323" s="17">
        <f>YEAR(Tabela1[[#This Row],[Data_Admissão]])</f>
        <v>2026</v>
      </c>
      <c r="Q323" s="17" t="str">
        <f>IF(Tabela1[[#This Row],[Data_Desligamento]]="", "", YEAR(Tabela1[[#This Row],[Data_Desligamento]]))</f>
        <v/>
      </c>
      <c r="R323" s="17"/>
    </row>
    <row r="324" spans="1:18">
      <c r="A324" s="1">
        <v>323</v>
      </c>
      <c r="B324" s="1" t="s">
        <v>416</v>
      </c>
      <c r="C324" s="2">
        <v>37528</v>
      </c>
      <c r="D324" s="1" t="s">
        <v>19</v>
      </c>
      <c r="E324" s="1">
        <v>1316</v>
      </c>
      <c r="F324" s="1" t="s">
        <v>33</v>
      </c>
      <c r="G324" s="10">
        <v>4834</v>
      </c>
      <c r="H324" s="1" t="s">
        <v>34</v>
      </c>
      <c r="I324" s="2">
        <v>46244</v>
      </c>
      <c r="K324" s="1" t="s">
        <v>22</v>
      </c>
      <c r="L324" s="1" t="s">
        <v>22</v>
      </c>
      <c r="M324" s="14" t="str">
        <f>IF(Tabela1[[#This Row],[Data_Desligamento]]="","ATIVO","INATIVO")</f>
        <v>ATIVO</v>
      </c>
      <c r="N324" s="14" t="str">
        <f>TEXT(Tabela1[[#This Row],[Data_Admissão]],"mmm")</f>
        <v>ago</v>
      </c>
      <c r="O324" s="14" t="str">
        <f>TEXT(Tabela1[[#This Row],[Data_Desligamento]],"mmm")</f>
        <v>jan</v>
      </c>
      <c r="P324" s="17">
        <f>YEAR(Tabela1[[#This Row],[Data_Admissão]])</f>
        <v>2026</v>
      </c>
      <c r="Q324" s="17" t="str">
        <f>IF(Tabela1[[#This Row],[Data_Desligamento]]="", "", YEAR(Tabela1[[#This Row],[Data_Desligamento]]))</f>
        <v/>
      </c>
      <c r="R324" s="17"/>
    </row>
    <row r="325" spans="1:18">
      <c r="A325" s="1">
        <v>324</v>
      </c>
      <c r="B325" s="1" t="s">
        <v>417</v>
      </c>
      <c r="C325" s="2">
        <v>37721</v>
      </c>
      <c r="D325" s="1" t="s">
        <v>19</v>
      </c>
      <c r="E325" s="1">
        <v>1116</v>
      </c>
      <c r="F325" s="1" t="s">
        <v>57</v>
      </c>
      <c r="G325" s="10">
        <v>6554</v>
      </c>
      <c r="H325" s="1" t="s">
        <v>34</v>
      </c>
      <c r="I325" s="2">
        <v>46254</v>
      </c>
      <c r="J325" s="2">
        <v>46280</v>
      </c>
      <c r="K325" s="1" t="s">
        <v>148</v>
      </c>
      <c r="L325" s="1" t="s">
        <v>229</v>
      </c>
      <c r="M325" s="14" t="str">
        <f>IF(Tabela1[[#This Row],[Data_Desligamento]]="","ATIVO","INATIVO")</f>
        <v>INATIVO</v>
      </c>
      <c r="N325" s="14" t="str">
        <f>TEXT(Tabela1[[#This Row],[Data_Admissão]],"mmm")</f>
        <v>ago</v>
      </c>
      <c r="O325" s="14" t="str">
        <f>TEXT(Tabela1[[#This Row],[Data_Desligamento]],"mmm")</f>
        <v>set</v>
      </c>
      <c r="P325" s="17">
        <f>YEAR(Tabela1[[#This Row],[Data_Admissão]])</f>
        <v>2026</v>
      </c>
      <c r="Q325" s="17">
        <f>IF(Tabela1[[#This Row],[Data_Desligamento]]="", "", YEAR(Tabela1[[#This Row],[Data_Desligamento]]))</f>
        <v>2026</v>
      </c>
      <c r="R325" s="17"/>
    </row>
    <row r="326" spans="1:18">
      <c r="A326" s="1">
        <v>325</v>
      </c>
      <c r="B326" s="1" t="s">
        <v>418</v>
      </c>
      <c r="C326" s="2">
        <v>28184</v>
      </c>
      <c r="D326" s="1" t="s">
        <v>19</v>
      </c>
      <c r="E326" s="1">
        <v>1340</v>
      </c>
      <c r="F326" s="1" t="s">
        <v>76</v>
      </c>
      <c r="G326" s="10">
        <v>6476</v>
      </c>
      <c r="H326" s="1" t="s">
        <v>77</v>
      </c>
      <c r="I326" s="2">
        <v>46263</v>
      </c>
      <c r="J326" s="2">
        <v>46335</v>
      </c>
      <c r="K326" s="1" t="s">
        <v>151</v>
      </c>
      <c r="L326" s="1" t="s">
        <v>241</v>
      </c>
      <c r="M326" s="14" t="str">
        <f>IF(Tabela1[[#This Row],[Data_Desligamento]]="","ATIVO","INATIVO")</f>
        <v>INATIVO</v>
      </c>
      <c r="N326" s="14" t="str">
        <f>TEXT(Tabela1[[#This Row],[Data_Admissão]],"mmm")</f>
        <v>ago</v>
      </c>
      <c r="O326" s="14" t="str">
        <f>TEXT(Tabela1[[#This Row],[Data_Desligamento]],"mmm")</f>
        <v>nov</v>
      </c>
      <c r="P326" s="17">
        <f>YEAR(Tabela1[[#This Row],[Data_Admissão]])</f>
        <v>2026</v>
      </c>
      <c r="Q326" s="17">
        <f>IF(Tabela1[[#This Row],[Data_Desligamento]]="", "", YEAR(Tabela1[[#This Row],[Data_Desligamento]]))</f>
        <v>2026</v>
      </c>
      <c r="R326" s="17"/>
    </row>
    <row r="327" spans="1:18">
      <c r="A327" s="1">
        <v>326</v>
      </c>
      <c r="B327" s="1" t="s">
        <v>419</v>
      </c>
      <c r="C327" s="2">
        <v>38410</v>
      </c>
      <c r="D327" s="1" t="s">
        <v>19</v>
      </c>
      <c r="E327" s="1">
        <v>1218</v>
      </c>
      <c r="F327" s="1" t="s">
        <v>33</v>
      </c>
      <c r="G327" s="10">
        <v>4179</v>
      </c>
      <c r="H327" s="1" t="s">
        <v>34</v>
      </c>
      <c r="I327" s="2">
        <v>46268</v>
      </c>
      <c r="K327" s="1" t="s">
        <v>22</v>
      </c>
      <c r="L327" s="1" t="s">
        <v>22</v>
      </c>
      <c r="M327" s="14" t="str">
        <f>IF(Tabela1[[#This Row],[Data_Desligamento]]="","ATIVO","INATIVO")</f>
        <v>ATIVO</v>
      </c>
      <c r="N327" s="14" t="str">
        <f>TEXT(Tabela1[[#This Row],[Data_Admissão]],"mmm")</f>
        <v>set</v>
      </c>
      <c r="O327" s="14" t="str">
        <f>TEXT(Tabela1[[#This Row],[Data_Desligamento]],"mmm")</f>
        <v>jan</v>
      </c>
      <c r="P327" s="17">
        <f>YEAR(Tabela1[[#This Row],[Data_Admissão]])</f>
        <v>2026</v>
      </c>
      <c r="Q327" s="17" t="str">
        <f>IF(Tabela1[[#This Row],[Data_Desligamento]]="", "", YEAR(Tabela1[[#This Row],[Data_Desligamento]]))</f>
        <v/>
      </c>
      <c r="R327" s="17"/>
    </row>
    <row r="328" spans="1:18">
      <c r="A328" s="1">
        <v>327</v>
      </c>
      <c r="B328" s="1" t="s">
        <v>420</v>
      </c>
      <c r="C328" s="2">
        <v>27098</v>
      </c>
      <c r="D328" s="1" t="s">
        <v>19</v>
      </c>
      <c r="E328" s="1">
        <v>1259</v>
      </c>
      <c r="F328" s="1" t="s">
        <v>63</v>
      </c>
      <c r="G328" s="10">
        <v>7175</v>
      </c>
      <c r="H328" s="1" t="s">
        <v>21</v>
      </c>
      <c r="I328" s="2">
        <v>46271</v>
      </c>
      <c r="K328" s="1" t="s">
        <v>22</v>
      </c>
      <c r="L328" s="1" t="s">
        <v>22</v>
      </c>
      <c r="M328" s="14" t="str">
        <f>IF(Tabela1[[#This Row],[Data_Desligamento]]="","ATIVO","INATIVO")</f>
        <v>ATIVO</v>
      </c>
      <c r="N328" s="14" t="str">
        <f>TEXT(Tabela1[[#This Row],[Data_Admissão]],"mmm")</f>
        <v>set</v>
      </c>
      <c r="O328" s="14" t="str">
        <f>TEXT(Tabela1[[#This Row],[Data_Desligamento]],"mmm")</f>
        <v>jan</v>
      </c>
      <c r="P328" s="17">
        <f>YEAR(Tabela1[[#This Row],[Data_Admissão]])</f>
        <v>2026</v>
      </c>
      <c r="Q328" s="17" t="str">
        <f>IF(Tabela1[[#This Row],[Data_Desligamento]]="", "", YEAR(Tabela1[[#This Row],[Data_Desligamento]]))</f>
        <v/>
      </c>
      <c r="R328" s="17"/>
    </row>
    <row r="329" spans="1:18">
      <c r="A329" s="1">
        <v>328</v>
      </c>
      <c r="B329" s="1" t="s">
        <v>344</v>
      </c>
      <c r="C329" s="2">
        <v>37012</v>
      </c>
      <c r="D329" s="1" t="s">
        <v>19</v>
      </c>
      <c r="E329" s="1">
        <v>1135</v>
      </c>
      <c r="F329" s="1" t="s">
        <v>30</v>
      </c>
      <c r="G329" s="10">
        <v>6388</v>
      </c>
      <c r="H329" s="1" t="s">
        <v>31</v>
      </c>
      <c r="I329" s="2">
        <v>46287</v>
      </c>
      <c r="K329" s="1" t="s">
        <v>155</v>
      </c>
      <c r="L329" s="1" t="s">
        <v>22</v>
      </c>
      <c r="M329" s="14" t="str">
        <f>IF(Tabela1[[#This Row],[Data_Desligamento]]="","ATIVO","INATIVO")</f>
        <v>ATIVO</v>
      </c>
      <c r="N329" s="14" t="str">
        <f>TEXT(Tabela1[[#This Row],[Data_Admissão]],"mmm")</f>
        <v>set</v>
      </c>
      <c r="O329" s="14" t="str">
        <f>TEXT(Tabela1[[#This Row],[Data_Desligamento]],"mmm")</f>
        <v>jan</v>
      </c>
      <c r="P329" s="17">
        <f>YEAR(Tabela1[[#This Row],[Data_Admissão]])</f>
        <v>2026</v>
      </c>
      <c r="Q329" s="17" t="str">
        <f>IF(Tabela1[[#This Row],[Data_Desligamento]]="", "", YEAR(Tabela1[[#This Row],[Data_Desligamento]]))</f>
        <v/>
      </c>
      <c r="R329" s="17"/>
    </row>
    <row r="330" spans="1:18">
      <c r="A330" s="1">
        <v>329</v>
      </c>
      <c r="B330" s="1" t="s">
        <v>421</v>
      </c>
      <c r="C330" s="2">
        <v>29084</v>
      </c>
      <c r="D330" s="1" t="s">
        <v>19</v>
      </c>
      <c r="E330" s="1">
        <v>1343</v>
      </c>
      <c r="F330" s="1" t="s">
        <v>53</v>
      </c>
      <c r="G330" s="10">
        <v>3019</v>
      </c>
      <c r="H330" s="1" t="s">
        <v>54</v>
      </c>
      <c r="I330" s="2">
        <v>46287</v>
      </c>
      <c r="J330" s="2">
        <v>46336</v>
      </c>
      <c r="K330" s="1" t="s">
        <v>157</v>
      </c>
      <c r="L330" s="1" t="s">
        <v>244</v>
      </c>
      <c r="M330" s="14" t="str">
        <f>IF(Tabela1[[#This Row],[Data_Desligamento]]="","ATIVO","INATIVO")</f>
        <v>INATIVO</v>
      </c>
      <c r="N330" s="14" t="str">
        <f>TEXT(Tabela1[[#This Row],[Data_Admissão]],"mmm")</f>
        <v>set</v>
      </c>
      <c r="O330" s="14" t="str">
        <f>TEXT(Tabela1[[#This Row],[Data_Desligamento]],"mmm")</f>
        <v>nov</v>
      </c>
      <c r="P330" s="17">
        <f>YEAR(Tabela1[[#This Row],[Data_Admissão]])</f>
        <v>2026</v>
      </c>
      <c r="Q330" s="17">
        <f>IF(Tabela1[[#This Row],[Data_Desligamento]]="", "", YEAR(Tabela1[[#This Row],[Data_Desligamento]]))</f>
        <v>2026</v>
      </c>
      <c r="R330" s="17"/>
    </row>
    <row r="331" spans="1:18">
      <c r="A331" s="1">
        <v>330</v>
      </c>
      <c r="B331" s="1" t="s">
        <v>249</v>
      </c>
      <c r="C331" s="2">
        <v>37713</v>
      </c>
      <c r="D331" s="1" t="s">
        <v>19</v>
      </c>
      <c r="E331" s="1">
        <v>1046</v>
      </c>
      <c r="F331" s="1" t="s">
        <v>57</v>
      </c>
      <c r="G331" s="10">
        <v>5797</v>
      </c>
      <c r="H331" s="1" t="s">
        <v>34</v>
      </c>
      <c r="I331" s="2">
        <v>46288</v>
      </c>
      <c r="J331" s="2">
        <v>46341</v>
      </c>
      <c r="K331" s="1" t="s">
        <v>22</v>
      </c>
      <c r="L331" s="1" t="s">
        <v>246</v>
      </c>
      <c r="M331" s="14" t="str">
        <f>IF(Tabela1[[#This Row],[Data_Desligamento]]="","ATIVO","INATIVO")</f>
        <v>INATIVO</v>
      </c>
      <c r="N331" s="14" t="str">
        <f>TEXT(Tabela1[[#This Row],[Data_Admissão]],"mmm")</f>
        <v>set</v>
      </c>
      <c r="O331" s="14" t="str">
        <f>TEXT(Tabela1[[#This Row],[Data_Desligamento]],"mmm")</f>
        <v>nov</v>
      </c>
      <c r="P331" s="17">
        <f>YEAR(Tabela1[[#This Row],[Data_Admissão]])</f>
        <v>2026</v>
      </c>
      <c r="Q331" s="17">
        <f>IF(Tabela1[[#This Row],[Data_Desligamento]]="", "", YEAR(Tabela1[[#This Row],[Data_Desligamento]]))</f>
        <v>2026</v>
      </c>
      <c r="R331" s="17"/>
    </row>
    <row r="332" spans="1:18">
      <c r="A332" s="1">
        <v>331</v>
      </c>
      <c r="B332" s="1" t="s">
        <v>422</v>
      </c>
      <c r="C332" s="2">
        <v>37331</v>
      </c>
      <c r="D332" s="1" t="s">
        <v>19</v>
      </c>
      <c r="E332" s="1">
        <v>1198</v>
      </c>
      <c r="F332" s="1" t="s">
        <v>33</v>
      </c>
      <c r="G332" s="10">
        <v>4820</v>
      </c>
      <c r="H332" s="1" t="s">
        <v>34</v>
      </c>
      <c r="I332" s="2">
        <v>46290</v>
      </c>
      <c r="K332" s="1" t="s">
        <v>22</v>
      </c>
      <c r="L332" s="1" t="s">
        <v>22</v>
      </c>
      <c r="M332" s="14" t="str">
        <f>IF(Tabela1[[#This Row],[Data_Desligamento]]="","ATIVO","INATIVO")</f>
        <v>ATIVO</v>
      </c>
      <c r="N332" s="14" t="str">
        <f>TEXT(Tabela1[[#This Row],[Data_Admissão]],"mmm")</f>
        <v>set</v>
      </c>
      <c r="O332" s="14" t="str">
        <f>TEXT(Tabela1[[#This Row],[Data_Desligamento]],"mmm")</f>
        <v>jan</v>
      </c>
      <c r="P332" s="17">
        <f>YEAR(Tabela1[[#This Row],[Data_Admissão]])</f>
        <v>2026</v>
      </c>
      <c r="Q332" s="17" t="str">
        <f>IF(Tabela1[[#This Row],[Data_Desligamento]]="", "", YEAR(Tabela1[[#This Row],[Data_Desligamento]]))</f>
        <v/>
      </c>
      <c r="R332" s="17"/>
    </row>
    <row r="333" spans="1:18">
      <c r="A333" s="1">
        <v>332</v>
      </c>
      <c r="B333" s="1" t="s">
        <v>423</v>
      </c>
      <c r="C333" s="2">
        <v>37893</v>
      </c>
      <c r="D333" s="1" t="s">
        <v>19</v>
      </c>
      <c r="E333" s="1">
        <v>1008</v>
      </c>
      <c r="F333" s="1" t="s">
        <v>25</v>
      </c>
      <c r="G333" s="10">
        <v>2915</v>
      </c>
      <c r="H333" s="1" t="s">
        <v>26</v>
      </c>
      <c r="I333" s="2">
        <v>46291</v>
      </c>
      <c r="K333" s="1" t="s">
        <v>161</v>
      </c>
      <c r="L333" s="1" t="s">
        <v>22</v>
      </c>
      <c r="M333" s="14" t="str">
        <f>IF(Tabela1[[#This Row],[Data_Desligamento]]="","ATIVO","INATIVO")</f>
        <v>ATIVO</v>
      </c>
      <c r="N333" s="14" t="str">
        <f>TEXT(Tabela1[[#This Row],[Data_Admissão]],"mmm")</f>
        <v>set</v>
      </c>
      <c r="O333" s="14" t="str">
        <f>TEXT(Tabela1[[#This Row],[Data_Desligamento]],"mmm")</f>
        <v>jan</v>
      </c>
      <c r="P333" s="17">
        <f>YEAR(Tabela1[[#This Row],[Data_Admissão]])</f>
        <v>2026</v>
      </c>
      <c r="Q333" s="17" t="str">
        <f>IF(Tabela1[[#This Row],[Data_Desligamento]]="", "", YEAR(Tabela1[[#This Row],[Data_Desligamento]]))</f>
        <v/>
      </c>
      <c r="R333" s="17"/>
    </row>
    <row r="334" spans="1:18">
      <c r="A334" s="1">
        <v>333</v>
      </c>
      <c r="B334" s="1" t="s">
        <v>18</v>
      </c>
      <c r="C334" s="2">
        <v>36413</v>
      </c>
      <c r="D334" s="1" t="s">
        <v>19</v>
      </c>
      <c r="E334" s="1">
        <v>1149</v>
      </c>
      <c r="F334" s="1" t="s">
        <v>48</v>
      </c>
      <c r="G334" s="10">
        <v>3577</v>
      </c>
      <c r="H334" s="1" t="s">
        <v>26</v>
      </c>
      <c r="I334" s="2">
        <v>46295</v>
      </c>
      <c r="K334" s="1" t="s">
        <v>22</v>
      </c>
      <c r="L334" s="1" t="s">
        <v>22</v>
      </c>
      <c r="M334" s="14" t="str">
        <f>IF(Tabela1[[#This Row],[Data_Desligamento]]="","ATIVO","INATIVO")</f>
        <v>ATIVO</v>
      </c>
      <c r="N334" s="14" t="str">
        <f>TEXT(Tabela1[[#This Row],[Data_Admissão]],"mmm")</f>
        <v>set</v>
      </c>
      <c r="O334" s="14" t="str">
        <f>TEXT(Tabela1[[#This Row],[Data_Desligamento]],"mmm")</f>
        <v>jan</v>
      </c>
      <c r="P334" s="17">
        <f>YEAR(Tabela1[[#This Row],[Data_Admissão]])</f>
        <v>2026</v>
      </c>
      <c r="Q334" s="17" t="str">
        <f>IF(Tabela1[[#This Row],[Data_Desligamento]]="", "", YEAR(Tabela1[[#This Row],[Data_Desligamento]]))</f>
        <v/>
      </c>
      <c r="R334" s="17"/>
    </row>
    <row r="335" spans="1:18">
      <c r="A335" s="1">
        <v>334</v>
      </c>
      <c r="B335" s="1" t="s">
        <v>424</v>
      </c>
      <c r="C335" s="2">
        <v>25594</v>
      </c>
      <c r="D335" s="1" t="s">
        <v>19</v>
      </c>
      <c r="E335" s="1">
        <v>1080</v>
      </c>
      <c r="F335" s="1" t="s">
        <v>63</v>
      </c>
      <c r="G335" s="10">
        <v>11174</v>
      </c>
      <c r="H335" s="1" t="s">
        <v>21</v>
      </c>
      <c r="I335" s="2">
        <v>46311</v>
      </c>
      <c r="K335" s="1" t="s">
        <v>22</v>
      </c>
      <c r="L335" s="1" t="s">
        <v>22</v>
      </c>
      <c r="M335" s="14" t="str">
        <f>IF(Tabela1[[#This Row],[Data_Desligamento]]="","ATIVO","INATIVO")</f>
        <v>ATIVO</v>
      </c>
      <c r="N335" s="14" t="str">
        <f>TEXT(Tabela1[[#This Row],[Data_Admissão]],"mmm")</f>
        <v>out</v>
      </c>
      <c r="O335" s="14" t="str">
        <f>TEXT(Tabela1[[#This Row],[Data_Desligamento]],"mmm")</f>
        <v>jan</v>
      </c>
      <c r="P335" s="17">
        <f>YEAR(Tabela1[[#This Row],[Data_Admissão]])</f>
        <v>2026</v>
      </c>
      <c r="Q335" s="17" t="str">
        <f>IF(Tabela1[[#This Row],[Data_Desligamento]]="", "", YEAR(Tabela1[[#This Row],[Data_Desligamento]]))</f>
        <v/>
      </c>
      <c r="R335" s="17"/>
    </row>
    <row r="336" spans="1:18">
      <c r="A336" s="1">
        <v>335</v>
      </c>
      <c r="B336" s="1" t="s">
        <v>425</v>
      </c>
      <c r="C336" s="2">
        <v>31345</v>
      </c>
      <c r="D336" s="1" t="s">
        <v>19</v>
      </c>
      <c r="E336" s="1">
        <v>1346</v>
      </c>
      <c r="F336" s="1" t="s">
        <v>76</v>
      </c>
      <c r="G336" s="10">
        <v>4669</v>
      </c>
      <c r="H336" s="1" t="s">
        <v>77</v>
      </c>
      <c r="I336" s="2">
        <v>46311</v>
      </c>
      <c r="J336" s="2">
        <v>46376</v>
      </c>
      <c r="K336" s="1" t="s">
        <v>163</v>
      </c>
      <c r="L336" s="1" t="s">
        <v>260</v>
      </c>
      <c r="M336" s="14" t="str">
        <f>IF(Tabela1[[#This Row],[Data_Desligamento]]="","ATIVO","INATIVO")</f>
        <v>INATIVO</v>
      </c>
      <c r="N336" s="14" t="str">
        <f>TEXT(Tabela1[[#This Row],[Data_Admissão]],"mmm")</f>
        <v>out</v>
      </c>
      <c r="O336" s="14" t="str">
        <f>TEXT(Tabela1[[#This Row],[Data_Desligamento]],"mmm")</f>
        <v>dez</v>
      </c>
      <c r="P336" s="17">
        <f>YEAR(Tabela1[[#This Row],[Data_Admissão]])</f>
        <v>2026</v>
      </c>
      <c r="Q336" s="17">
        <f>IF(Tabela1[[#This Row],[Data_Desligamento]]="", "", YEAR(Tabela1[[#This Row],[Data_Desligamento]]))</f>
        <v>2026</v>
      </c>
      <c r="R336" s="17"/>
    </row>
    <row r="337" spans="1:18">
      <c r="A337" s="1">
        <v>336</v>
      </c>
      <c r="B337" s="1" t="s">
        <v>426</v>
      </c>
      <c r="C337" s="2">
        <v>29198</v>
      </c>
      <c r="D337" s="1" t="s">
        <v>19</v>
      </c>
      <c r="E337" s="1">
        <v>1119</v>
      </c>
      <c r="F337" s="1" t="s">
        <v>44</v>
      </c>
      <c r="G337" s="10">
        <v>5970</v>
      </c>
      <c r="H337" s="1" t="s">
        <v>45</v>
      </c>
      <c r="I337" s="2">
        <v>46313</v>
      </c>
      <c r="K337" s="1" t="s">
        <v>22</v>
      </c>
      <c r="L337" s="1" t="s">
        <v>22</v>
      </c>
      <c r="M337" s="14" t="str">
        <f>IF(Tabela1[[#This Row],[Data_Desligamento]]="","ATIVO","INATIVO")</f>
        <v>ATIVO</v>
      </c>
      <c r="N337" s="14" t="str">
        <f>TEXT(Tabela1[[#This Row],[Data_Admissão]],"mmm")</f>
        <v>out</v>
      </c>
      <c r="O337" s="14" t="str">
        <f>TEXT(Tabela1[[#This Row],[Data_Desligamento]],"mmm")</f>
        <v>jan</v>
      </c>
      <c r="P337" s="17">
        <f>YEAR(Tabela1[[#This Row],[Data_Admissão]])</f>
        <v>2026</v>
      </c>
      <c r="Q337" s="17" t="str">
        <f>IF(Tabela1[[#This Row],[Data_Desligamento]]="", "", YEAR(Tabela1[[#This Row],[Data_Desligamento]]))</f>
        <v/>
      </c>
      <c r="R337" s="17"/>
    </row>
    <row r="338" spans="1:18">
      <c r="A338" s="1">
        <v>337</v>
      </c>
      <c r="B338" s="1" t="s">
        <v>309</v>
      </c>
      <c r="C338" s="2">
        <v>25956</v>
      </c>
      <c r="D338" s="1" t="s">
        <v>19</v>
      </c>
      <c r="E338" s="1">
        <v>1245</v>
      </c>
      <c r="F338" s="1" t="s">
        <v>33</v>
      </c>
      <c r="G338" s="10">
        <v>4544</v>
      </c>
      <c r="H338" s="1" t="s">
        <v>34</v>
      </c>
      <c r="I338" s="2">
        <v>46315</v>
      </c>
      <c r="K338" s="1" t="s">
        <v>165</v>
      </c>
      <c r="L338" s="1" t="s">
        <v>22</v>
      </c>
      <c r="M338" s="14" t="str">
        <f>IF(Tabela1[[#This Row],[Data_Desligamento]]="","ATIVO","INATIVO")</f>
        <v>ATIVO</v>
      </c>
      <c r="N338" s="14" t="str">
        <f>TEXT(Tabela1[[#This Row],[Data_Admissão]],"mmm")</f>
        <v>out</v>
      </c>
      <c r="O338" s="14" t="str">
        <f>TEXT(Tabela1[[#This Row],[Data_Desligamento]],"mmm")</f>
        <v>jan</v>
      </c>
      <c r="P338" s="17">
        <f>YEAR(Tabela1[[#This Row],[Data_Admissão]])</f>
        <v>2026</v>
      </c>
      <c r="Q338" s="17" t="str">
        <f>IF(Tabela1[[#This Row],[Data_Desligamento]]="", "", YEAR(Tabela1[[#This Row],[Data_Desligamento]]))</f>
        <v/>
      </c>
      <c r="R338" s="17"/>
    </row>
    <row r="339" spans="1:18">
      <c r="A339" s="1">
        <v>338</v>
      </c>
      <c r="B339" s="1" t="s">
        <v>427</v>
      </c>
      <c r="C339" s="2">
        <v>33758</v>
      </c>
      <c r="D339" s="1" t="s">
        <v>19</v>
      </c>
      <c r="E339" s="1">
        <v>1040</v>
      </c>
      <c r="F339" s="1" t="s">
        <v>57</v>
      </c>
      <c r="G339" s="10">
        <v>6088</v>
      </c>
      <c r="H339" s="1" t="s">
        <v>34</v>
      </c>
      <c r="I339" s="2">
        <v>46316</v>
      </c>
      <c r="K339" s="1" t="s">
        <v>27</v>
      </c>
      <c r="L339" s="1" t="s">
        <v>22</v>
      </c>
      <c r="M339" s="14" t="str">
        <f>IF(Tabela1[[#This Row],[Data_Desligamento]]="","ATIVO","INATIVO")</f>
        <v>ATIVO</v>
      </c>
      <c r="N339" s="14" t="str">
        <f>TEXT(Tabela1[[#This Row],[Data_Admissão]],"mmm")</f>
        <v>out</v>
      </c>
      <c r="O339" s="14" t="str">
        <f>TEXT(Tabela1[[#This Row],[Data_Desligamento]],"mmm")</f>
        <v>jan</v>
      </c>
      <c r="P339" s="17">
        <f>YEAR(Tabela1[[#This Row],[Data_Admissão]])</f>
        <v>2026</v>
      </c>
      <c r="Q339" s="17" t="str">
        <f>IF(Tabela1[[#This Row],[Data_Desligamento]]="", "", YEAR(Tabela1[[#This Row],[Data_Desligamento]]))</f>
        <v/>
      </c>
      <c r="R339" s="17"/>
    </row>
    <row r="340" spans="1:18">
      <c r="A340" s="1">
        <v>339</v>
      </c>
      <c r="B340" s="1" t="s">
        <v>428</v>
      </c>
      <c r="C340" s="2">
        <v>28288</v>
      </c>
      <c r="D340" s="1" t="s">
        <v>19</v>
      </c>
      <c r="E340" s="1">
        <v>1190</v>
      </c>
      <c r="F340" s="1" t="s">
        <v>30</v>
      </c>
      <c r="G340" s="10">
        <v>8390</v>
      </c>
      <c r="H340" s="1" t="s">
        <v>31</v>
      </c>
      <c r="I340" s="2">
        <v>46322</v>
      </c>
      <c r="K340" s="1" t="s">
        <v>36</v>
      </c>
      <c r="L340" s="1" t="s">
        <v>22</v>
      </c>
      <c r="M340" s="14" t="str">
        <f>IF(Tabela1[[#This Row],[Data_Desligamento]]="","ATIVO","INATIVO")</f>
        <v>ATIVO</v>
      </c>
      <c r="N340" s="14" t="str">
        <f>TEXT(Tabela1[[#This Row],[Data_Admissão]],"mmm")</f>
        <v>out</v>
      </c>
      <c r="O340" s="14" t="str">
        <f>TEXT(Tabela1[[#This Row],[Data_Desligamento]],"mmm")</f>
        <v>jan</v>
      </c>
      <c r="P340" s="17">
        <f>YEAR(Tabela1[[#This Row],[Data_Admissão]])</f>
        <v>2026</v>
      </c>
      <c r="Q340" s="17" t="str">
        <f>IF(Tabela1[[#This Row],[Data_Desligamento]]="", "", YEAR(Tabela1[[#This Row],[Data_Desligamento]]))</f>
        <v/>
      </c>
      <c r="R340" s="17"/>
    </row>
    <row r="341" spans="1:18">
      <c r="A341" s="1">
        <v>340</v>
      </c>
      <c r="B341" s="1" t="s">
        <v>429</v>
      </c>
      <c r="C341" s="2">
        <v>37300</v>
      </c>
      <c r="D341" s="1" t="s">
        <v>19</v>
      </c>
      <c r="E341" s="1">
        <v>1208</v>
      </c>
      <c r="F341" s="1" t="s">
        <v>33</v>
      </c>
      <c r="G341" s="10">
        <v>5613</v>
      </c>
      <c r="H341" s="1" t="s">
        <v>34</v>
      </c>
      <c r="I341" s="2">
        <v>46322</v>
      </c>
      <c r="K341" s="1" t="s">
        <v>22</v>
      </c>
      <c r="L341" s="1" t="s">
        <v>22</v>
      </c>
      <c r="M341" s="14" t="str">
        <f>IF(Tabela1[[#This Row],[Data_Desligamento]]="","ATIVO","INATIVO")</f>
        <v>ATIVO</v>
      </c>
      <c r="N341" s="14" t="str">
        <f>TEXT(Tabela1[[#This Row],[Data_Admissão]],"mmm")</f>
        <v>out</v>
      </c>
      <c r="O341" s="14" t="str">
        <f>TEXT(Tabela1[[#This Row],[Data_Desligamento]],"mmm")</f>
        <v>jan</v>
      </c>
      <c r="P341" s="17">
        <f>YEAR(Tabela1[[#This Row],[Data_Admissão]])</f>
        <v>2026</v>
      </c>
      <c r="Q341" s="17" t="str">
        <f>IF(Tabela1[[#This Row],[Data_Desligamento]]="", "", YEAR(Tabela1[[#This Row],[Data_Desligamento]]))</f>
        <v/>
      </c>
      <c r="R341" s="17"/>
    </row>
    <row r="342" spans="1:18">
      <c r="A342" s="1">
        <v>341</v>
      </c>
      <c r="B342" s="1" t="s">
        <v>430</v>
      </c>
      <c r="C342" s="2">
        <v>32587</v>
      </c>
      <c r="D342" s="1" t="s">
        <v>19</v>
      </c>
      <c r="E342" s="1">
        <v>1277</v>
      </c>
      <c r="F342" s="1" t="s">
        <v>63</v>
      </c>
      <c r="G342" s="10">
        <v>10644</v>
      </c>
      <c r="H342" s="1" t="s">
        <v>21</v>
      </c>
      <c r="I342" s="2">
        <v>46328</v>
      </c>
      <c r="K342" s="1" t="s">
        <v>46</v>
      </c>
      <c r="L342" s="1" t="s">
        <v>22</v>
      </c>
      <c r="M342" s="14" t="str">
        <f>IF(Tabela1[[#This Row],[Data_Desligamento]]="","ATIVO","INATIVO")</f>
        <v>ATIVO</v>
      </c>
      <c r="N342" s="14" t="str">
        <f>TEXT(Tabela1[[#This Row],[Data_Admissão]],"mmm")</f>
        <v>nov</v>
      </c>
      <c r="O342" s="14" t="str">
        <f>TEXT(Tabela1[[#This Row],[Data_Desligamento]],"mmm")</f>
        <v>jan</v>
      </c>
      <c r="P342" s="17">
        <f>YEAR(Tabela1[[#This Row],[Data_Admissão]])</f>
        <v>2026</v>
      </c>
      <c r="Q342" s="17" t="str">
        <f>IF(Tabela1[[#This Row],[Data_Desligamento]]="", "", YEAR(Tabela1[[#This Row],[Data_Desligamento]]))</f>
        <v/>
      </c>
      <c r="R342" s="17"/>
    </row>
    <row r="343" spans="1:18">
      <c r="A343" s="1">
        <v>342</v>
      </c>
      <c r="B343" s="1" t="s">
        <v>431</v>
      </c>
      <c r="C343" s="2">
        <v>33070</v>
      </c>
      <c r="D343" s="1" t="s">
        <v>19</v>
      </c>
      <c r="E343" s="1">
        <v>1165</v>
      </c>
      <c r="F343" s="1" t="s">
        <v>30</v>
      </c>
      <c r="G343" s="10">
        <v>6388</v>
      </c>
      <c r="H343" s="1" t="s">
        <v>31</v>
      </c>
      <c r="I343" s="2">
        <v>46332</v>
      </c>
      <c r="K343" s="1" t="s">
        <v>49</v>
      </c>
      <c r="L343" s="1" t="s">
        <v>22</v>
      </c>
      <c r="M343" s="14" t="str">
        <f>IF(Tabela1[[#This Row],[Data_Desligamento]]="","ATIVO","INATIVO")</f>
        <v>ATIVO</v>
      </c>
      <c r="N343" s="14" t="str">
        <f>TEXT(Tabela1[[#This Row],[Data_Admissão]],"mmm")</f>
        <v>nov</v>
      </c>
      <c r="O343" s="14" t="str">
        <f>TEXT(Tabela1[[#This Row],[Data_Desligamento]],"mmm")</f>
        <v>jan</v>
      </c>
      <c r="P343" s="17">
        <f>YEAR(Tabela1[[#This Row],[Data_Admissão]])</f>
        <v>2026</v>
      </c>
      <c r="Q343" s="17" t="str">
        <f>IF(Tabela1[[#This Row],[Data_Desligamento]]="", "", YEAR(Tabela1[[#This Row],[Data_Desligamento]]))</f>
        <v/>
      </c>
      <c r="R343" s="17"/>
    </row>
    <row r="344" spans="1:18">
      <c r="A344" s="1">
        <v>343</v>
      </c>
      <c r="B344" s="1" t="s">
        <v>171</v>
      </c>
      <c r="C344" s="2">
        <v>37929</v>
      </c>
      <c r="D344" s="1" t="s">
        <v>19</v>
      </c>
      <c r="E344" s="1">
        <v>1026</v>
      </c>
      <c r="F344" s="1" t="s">
        <v>48</v>
      </c>
      <c r="G344" s="10">
        <v>3723</v>
      </c>
      <c r="H344" s="1" t="s">
        <v>26</v>
      </c>
      <c r="I344" s="2">
        <v>46335</v>
      </c>
      <c r="K344" s="1" t="s">
        <v>22</v>
      </c>
      <c r="L344" s="1" t="s">
        <v>22</v>
      </c>
      <c r="M344" s="14" t="str">
        <f>IF(Tabela1[[#This Row],[Data_Desligamento]]="","ATIVO","INATIVO")</f>
        <v>ATIVO</v>
      </c>
      <c r="N344" s="14" t="str">
        <f>TEXT(Tabela1[[#This Row],[Data_Admissão]],"mmm")</f>
        <v>nov</v>
      </c>
      <c r="O344" s="14" t="str">
        <f>TEXT(Tabela1[[#This Row],[Data_Desligamento]],"mmm")</f>
        <v>jan</v>
      </c>
      <c r="P344" s="17">
        <f>YEAR(Tabela1[[#This Row],[Data_Admissão]])</f>
        <v>2026</v>
      </c>
      <c r="Q344" s="17" t="str">
        <f>IF(Tabela1[[#This Row],[Data_Desligamento]]="", "", YEAR(Tabela1[[#This Row],[Data_Desligamento]]))</f>
        <v/>
      </c>
      <c r="R344" s="17"/>
    </row>
    <row r="345" spans="1:18">
      <c r="A345" s="1">
        <v>344</v>
      </c>
      <c r="B345" s="1" t="s">
        <v>432</v>
      </c>
      <c r="C345" s="2">
        <v>37609</v>
      </c>
      <c r="D345" s="1" t="s">
        <v>19</v>
      </c>
      <c r="E345" s="1">
        <v>1130</v>
      </c>
      <c r="F345" s="1" t="s">
        <v>68</v>
      </c>
      <c r="G345" s="10">
        <v>2979</v>
      </c>
      <c r="H345" s="1" t="s">
        <v>54</v>
      </c>
      <c r="I345" s="2">
        <v>46337</v>
      </c>
      <c r="K345" s="1" t="s">
        <v>55</v>
      </c>
      <c r="L345" s="1" t="s">
        <v>22</v>
      </c>
      <c r="M345" s="14" t="str">
        <f>IF(Tabela1[[#This Row],[Data_Desligamento]]="","ATIVO","INATIVO")</f>
        <v>ATIVO</v>
      </c>
      <c r="N345" s="14" t="str">
        <f>TEXT(Tabela1[[#This Row],[Data_Admissão]],"mmm")</f>
        <v>nov</v>
      </c>
      <c r="O345" s="14" t="str">
        <f>TEXT(Tabela1[[#This Row],[Data_Desligamento]],"mmm")</f>
        <v>jan</v>
      </c>
      <c r="P345" s="17">
        <f>YEAR(Tabela1[[#This Row],[Data_Admissão]])</f>
        <v>2026</v>
      </c>
      <c r="Q345" s="17" t="str">
        <f>IF(Tabela1[[#This Row],[Data_Desligamento]]="", "", YEAR(Tabela1[[#This Row],[Data_Desligamento]]))</f>
        <v/>
      </c>
      <c r="R345" s="17"/>
    </row>
    <row r="346" spans="1:18">
      <c r="A346" s="1">
        <v>345</v>
      </c>
      <c r="B346" s="1" t="s">
        <v>433</v>
      </c>
      <c r="C346" s="2">
        <v>35670</v>
      </c>
      <c r="D346" s="1" t="s">
        <v>19</v>
      </c>
      <c r="E346" s="1">
        <v>1236</v>
      </c>
      <c r="F346" s="1" t="s">
        <v>48</v>
      </c>
      <c r="G346" s="10">
        <v>2864</v>
      </c>
      <c r="H346" s="1" t="s">
        <v>26</v>
      </c>
      <c r="I346" s="2">
        <v>46347</v>
      </c>
      <c r="J346" s="2">
        <v>46381</v>
      </c>
      <c r="K346" s="1" t="s">
        <v>58</v>
      </c>
      <c r="L346" s="1" t="s">
        <v>269</v>
      </c>
      <c r="M346" s="14" t="str">
        <f>IF(Tabela1[[#This Row],[Data_Desligamento]]="","ATIVO","INATIVO")</f>
        <v>INATIVO</v>
      </c>
      <c r="N346" s="14" t="str">
        <f>TEXT(Tabela1[[#This Row],[Data_Admissão]],"mmm")</f>
        <v>nov</v>
      </c>
      <c r="O346" s="14" t="str">
        <f>TEXT(Tabela1[[#This Row],[Data_Desligamento]],"mmm")</f>
        <v>dez</v>
      </c>
      <c r="P346" s="17">
        <f>YEAR(Tabela1[[#This Row],[Data_Admissão]])</f>
        <v>2026</v>
      </c>
      <c r="Q346" s="17">
        <f>IF(Tabela1[[#This Row],[Data_Desligamento]]="", "", YEAR(Tabela1[[#This Row],[Data_Desligamento]]))</f>
        <v>2026</v>
      </c>
      <c r="R346" s="17"/>
    </row>
    <row r="347" spans="1:18">
      <c r="A347" s="1">
        <v>346</v>
      </c>
      <c r="B347" s="1" t="s">
        <v>72</v>
      </c>
      <c r="C347" s="2">
        <v>34964</v>
      </c>
      <c r="D347" s="1" t="s">
        <v>19</v>
      </c>
      <c r="E347" s="1">
        <v>1336</v>
      </c>
      <c r="F347" s="1" t="s">
        <v>76</v>
      </c>
      <c r="G347" s="10">
        <v>7027</v>
      </c>
      <c r="H347" s="1" t="s">
        <v>77</v>
      </c>
      <c r="I347" s="2">
        <v>46353</v>
      </c>
      <c r="K347" s="1" t="s">
        <v>22</v>
      </c>
      <c r="L347" s="1" t="s">
        <v>22</v>
      </c>
      <c r="M347" s="14" t="str">
        <f>IF(Tabela1[[#This Row],[Data_Desligamento]]="","ATIVO","INATIVO")</f>
        <v>ATIVO</v>
      </c>
      <c r="N347" s="14" t="str">
        <f>TEXT(Tabela1[[#This Row],[Data_Admissão]],"mmm")</f>
        <v>nov</v>
      </c>
      <c r="O347" s="14" t="str">
        <f>TEXT(Tabela1[[#This Row],[Data_Desligamento]],"mmm")</f>
        <v>jan</v>
      </c>
      <c r="P347" s="17">
        <f>YEAR(Tabela1[[#This Row],[Data_Admissão]])</f>
        <v>2026</v>
      </c>
      <c r="Q347" s="17" t="str">
        <f>IF(Tabela1[[#This Row],[Data_Desligamento]]="", "", YEAR(Tabela1[[#This Row],[Data_Desligamento]]))</f>
        <v/>
      </c>
      <c r="R347" s="17"/>
    </row>
    <row r="348" spans="1:18">
      <c r="A348" s="1">
        <v>347</v>
      </c>
      <c r="B348" s="1" t="s">
        <v>387</v>
      </c>
      <c r="C348" s="2">
        <v>37353</v>
      </c>
      <c r="D348" s="1" t="s">
        <v>19</v>
      </c>
      <c r="E348" s="1">
        <v>1317</v>
      </c>
      <c r="F348" s="1" t="s">
        <v>76</v>
      </c>
      <c r="G348" s="10">
        <v>7852</v>
      </c>
      <c r="H348" s="1" t="s">
        <v>77</v>
      </c>
      <c r="I348" s="2">
        <v>46360</v>
      </c>
      <c r="K348" s="1" t="s">
        <v>22</v>
      </c>
      <c r="L348" s="1" t="s">
        <v>22</v>
      </c>
      <c r="M348" s="14" t="str">
        <f>IF(Tabela1[[#This Row],[Data_Desligamento]]="","ATIVO","INATIVO")</f>
        <v>ATIVO</v>
      </c>
      <c r="N348" s="14" t="str">
        <f>TEXT(Tabela1[[#This Row],[Data_Admissão]],"mmm")</f>
        <v>dez</v>
      </c>
      <c r="O348" s="14" t="str">
        <f>TEXT(Tabela1[[#This Row],[Data_Desligamento]],"mmm")</f>
        <v>jan</v>
      </c>
      <c r="P348" s="17">
        <f>YEAR(Tabela1[[#This Row],[Data_Admissão]])</f>
        <v>2026</v>
      </c>
      <c r="Q348" s="17" t="str">
        <f>IF(Tabela1[[#This Row],[Data_Desligamento]]="", "", YEAR(Tabela1[[#This Row],[Data_Desligamento]]))</f>
        <v/>
      </c>
      <c r="R348" s="17"/>
    </row>
    <row r="349" spans="1:18">
      <c r="A349" s="1">
        <v>348</v>
      </c>
      <c r="B349" s="1" t="s">
        <v>434</v>
      </c>
      <c r="C349" s="2">
        <v>36548</v>
      </c>
      <c r="D349" s="1" t="s">
        <v>19</v>
      </c>
      <c r="E349" s="1">
        <v>1027</v>
      </c>
      <c r="F349" s="1" t="s">
        <v>25</v>
      </c>
      <c r="G349" s="10">
        <v>2982</v>
      </c>
      <c r="H349" s="1" t="s">
        <v>26</v>
      </c>
      <c r="I349" s="2">
        <v>46366</v>
      </c>
      <c r="K349" s="1" t="s">
        <v>60</v>
      </c>
      <c r="L349" s="1" t="s">
        <v>22</v>
      </c>
      <c r="M349" s="14" t="str">
        <f>IF(Tabela1[[#This Row],[Data_Desligamento]]="","ATIVO","INATIVO")</f>
        <v>ATIVO</v>
      </c>
      <c r="N349" s="14" t="str">
        <f>TEXT(Tabela1[[#This Row],[Data_Admissão]],"mmm")</f>
        <v>dez</v>
      </c>
      <c r="O349" s="14" t="str">
        <f>TEXT(Tabela1[[#This Row],[Data_Desligamento]],"mmm")</f>
        <v>jan</v>
      </c>
      <c r="P349" s="17">
        <f>YEAR(Tabela1[[#This Row],[Data_Admissão]])</f>
        <v>2026</v>
      </c>
      <c r="Q349" s="17" t="str">
        <f>IF(Tabela1[[#This Row],[Data_Desligamento]]="", "", YEAR(Tabela1[[#This Row],[Data_Desligamento]]))</f>
        <v/>
      </c>
      <c r="R349" s="17"/>
    </row>
    <row r="350" spans="1:18">
      <c r="A350" s="1">
        <v>349</v>
      </c>
      <c r="B350" s="1" t="s">
        <v>435</v>
      </c>
      <c r="C350" s="2">
        <v>26586</v>
      </c>
      <c r="D350" s="1" t="s">
        <v>19</v>
      </c>
      <c r="E350" s="1">
        <v>1154</v>
      </c>
      <c r="F350" s="1" t="s">
        <v>89</v>
      </c>
      <c r="G350" s="10">
        <v>2628</v>
      </c>
      <c r="H350" s="1" t="s">
        <v>77</v>
      </c>
      <c r="I350" s="2">
        <v>46379</v>
      </c>
      <c r="K350" s="1" t="s">
        <v>22</v>
      </c>
      <c r="L350" s="1" t="s">
        <v>22</v>
      </c>
      <c r="M350" s="14" t="str">
        <f>IF(Tabela1[[#This Row],[Data_Desligamento]]="","ATIVO","INATIVO")</f>
        <v>ATIVO</v>
      </c>
      <c r="N350" s="14" t="str">
        <f>TEXT(Tabela1[[#This Row],[Data_Admissão]],"mmm")</f>
        <v>dez</v>
      </c>
      <c r="O350" s="14" t="str">
        <f>TEXT(Tabela1[[#This Row],[Data_Desligamento]],"mmm")</f>
        <v>jan</v>
      </c>
      <c r="P350" s="17">
        <f>YEAR(Tabela1[[#This Row],[Data_Admissão]])</f>
        <v>2026</v>
      </c>
      <c r="Q350" s="17" t="str">
        <f>IF(Tabela1[[#This Row],[Data_Desligamento]]="", "", YEAR(Tabela1[[#This Row],[Data_Desligamento]]))</f>
        <v/>
      </c>
      <c r="R350" s="17"/>
    </row>
    <row r="351" spans="1:18">
      <c r="A351" s="1">
        <v>350</v>
      </c>
      <c r="B351" s="1" t="s">
        <v>436</v>
      </c>
      <c r="C351" s="2">
        <v>35070</v>
      </c>
      <c r="D351" s="1" t="s">
        <v>19</v>
      </c>
      <c r="E351" s="1">
        <v>1052</v>
      </c>
      <c r="F351" s="1" t="s">
        <v>25</v>
      </c>
      <c r="G351" s="10">
        <v>4429</v>
      </c>
      <c r="H351" s="1" t="s">
        <v>26</v>
      </c>
      <c r="I351" s="2">
        <v>46386</v>
      </c>
      <c r="K351" s="1" t="s">
        <v>65</v>
      </c>
      <c r="L351" s="1" t="s">
        <v>22</v>
      </c>
      <c r="M351" s="14" t="str">
        <f>IF(Tabela1[[#This Row],[Data_Desligamento]]="","ATIVO","INATIVO")</f>
        <v>ATIVO</v>
      </c>
      <c r="N351" s="14" t="str">
        <f>TEXT(Tabela1[[#This Row],[Data_Admissão]],"mmm")</f>
        <v>dez</v>
      </c>
      <c r="O351" s="14" t="str">
        <f>TEXT(Tabela1[[#This Row],[Data_Desligamento]],"mmm")</f>
        <v>jan</v>
      </c>
      <c r="P351" s="17">
        <f>YEAR(Tabela1[[#This Row],[Data_Admissão]])</f>
        <v>2026</v>
      </c>
      <c r="Q351" s="17" t="str">
        <f>IF(Tabela1[[#This Row],[Data_Desligamento]]="", "", YEAR(Tabela1[[#This Row],[Data_Desligamento]]))</f>
        <v/>
      </c>
      <c r="R351" s="1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0A76-7EEF-4702-A305-A1A9CB32CA38}">
  <dimension ref="A1:L43"/>
  <sheetViews>
    <sheetView topLeftCell="A3" workbookViewId="0">
      <selection activeCell="A16" sqref="A16"/>
    </sheetView>
  </sheetViews>
  <sheetFormatPr defaultRowHeight="15"/>
  <cols>
    <col min="1" max="1" width="23.28515625" bestFit="1" customWidth="1"/>
    <col min="2" max="2" width="28.85546875" bestFit="1" customWidth="1"/>
    <col min="4" max="4" width="18" bestFit="1" customWidth="1"/>
    <col min="5" max="5" width="28.85546875" bestFit="1" customWidth="1"/>
    <col min="7" max="7" width="18" bestFit="1" customWidth="1"/>
    <col min="8" max="8" width="22.5703125" bestFit="1" customWidth="1"/>
    <col min="10" max="10" width="61" bestFit="1" customWidth="1"/>
    <col min="12" max="12" width="59.140625" bestFit="1" customWidth="1"/>
  </cols>
  <sheetData>
    <row r="1" spans="1:12">
      <c r="F1" s="19"/>
      <c r="G1" s="18" t="s">
        <v>437</v>
      </c>
    </row>
    <row r="2" spans="1:12">
      <c r="A2" s="9" t="s">
        <v>438</v>
      </c>
      <c r="B2" s="9"/>
      <c r="D2" s="9" t="s">
        <v>439</v>
      </c>
      <c r="G2" s="9" t="s">
        <v>440</v>
      </c>
      <c r="H2" s="9"/>
      <c r="J2" s="9" t="s">
        <v>441</v>
      </c>
      <c r="L2" s="9" t="s">
        <v>442</v>
      </c>
    </row>
    <row r="3" spans="1:12">
      <c r="A3" s="8" t="s">
        <v>12</v>
      </c>
      <c r="B3" t="s">
        <v>443</v>
      </c>
      <c r="D3" s="6" t="s">
        <v>13</v>
      </c>
      <c r="E3" t="s">
        <v>443</v>
      </c>
      <c r="G3" s="6" t="s">
        <v>13</v>
      </c>
      <c r="H3" s="11" t="s">
        <v>444</v>
      </c>
      <c r="J3" s="6" t="s">
        <v>10</v>
      </c>
      <c r="L3" s="6" t="s">
        <v>11</v>
      </c>
    </row>
    <row r="4" spans="1:12">
      <c r="A4" t="s">
        <v>445</v>
      </c>
      <c r="B4" s="7">
        <v>33</v>
      </c>
      <c r="D4" t="s">
        <v>446</v>
      </c>
      <c r="E4" s="7">
        <v>5</v>
      </c>
      <c r="F4" s="7"/>
      <c r="G4" t="s">
        <v>446</v>
      </c>
      <c r="H4" s="11">
        <v>28922</v>
      </c>
      <c r="J4" t="s">
        <v>103</v>
      </c>
      <c r="L4" t="s">
        <v>90</v>
      </c>
    </row>
    <row r="5" spans="1:12">
      <c r="A5" t="s">
        <v>447</v>
      </c>
      <c r="B5" s="7">
        <v>11</v>
      </c>
      <c r="D5" t="s">
        <v>448</v>
      </c>
      <c r="E5" s="16">
        <v>2</v>
      </c>
      <c r="F5" s="7"/>
      <c r="G5" t="s">
        <v>448</v>
      </c>
      <c r="H5" s="11">
        <v>20318</v>
      </c>
      <c r="J5" t="s">
        <v>109</v>
      </c>
      <c r="L5" t="s">
        <v>82</v>
      </c>
    </row>
    <row r="6" spans="1:12">
      <c r="B6" s="5"/>
      <c r="D6" t="s">
        <v>449</v>
      </c>
      <c r="E6" s="7">
        <v>6</v>
      </c>
      <c r="F6" s="7"/>
      <c r="G6" t="s">
        <v>449</v>
      </c>
      <c r="H6" s="11">
        <v>27187</v>
      </c>
      <c r="J6" t="s">
        <v>95</v>
      </c>
      <c r="L6" t="s">
        <v>28</v>
      </c>
    </row>
    <row r="7" spans="1:12">
      <c r="A7" s="9" t="s">
        <v>438</v>
      </c>
      <c r="B7" s="9"/>
      <c r="D7" t="s">
        <v>450</v>
      </c>
      <c r="E7" s="7">
        <v>1</v>
      </c>
      <c r="F7" s="7"/>
      <c r="G7" t="s">
        <v>450</v>
      </c>
      <c r="H7" s="11">
        <v>6920</v>
      </c>
      <c r="J7" s="5" t="s">
        <v>36</v>
      </c>
      <c r="L7" t="s">
        <v>74</v>
      </c>
    </row>
    <row r="8" spans="1:12">
      <c r="A8" s="8" t="s">
        <v>12</v>
      </c>
      <c r="B8" t="s">
        <v>444</v>
      </c>
      <c r="D8" t="s">
        <v>451</v>
      </c>
      <c r="E8" s="7">
        <v>2</v>
      </c>
      <c r="F8" s="7"/>
      <c r="G8" t="s">
        <v>451</v>
      </c>
      <c r="H8" s="11">
        <v>15389</v>
      </c>
      <c r="J8" t="s">
        <v>55</v>
      </c>
      <c r="L8" t="s">
        <v>23</v>
      </c>
    </row>
    <row r="9" spans="1:12">
      <c r="A9" t="s">
        <v>445</v>
      </c>
      <c r="B9" s="11">
        <v>209982</v>
      </c>
      <c r="C9" s="5"/>
      <c r="D9" t="s">
        <v>452</v>
      </c>
      <c r="E9" s="7">
        <v>3</v>
      </c>
      <c r="F9" s="7"/>
      <c r="G9" t="s">
        <v>452</v>
      </c>
      <c r="H9" s="11">
        <v>29062</v>
      </c>
      <c r="J9" t="s">
        <v>69</v>
      </c>
      <c r="L9" t="s">
        <v>84</v>
      </c>
    </row>
    <row r="10" spans="1:12">
      <c r="A10" t="s">
        <v>447</v>
      </c>
      <c r="B10" s="12">
        <v>48114</v>
      </c>
      <c r="D10" s="5" t="s">
        <v>453</v>
      </c>
      <c r="E10" s="7">
        <v>5</v>
      </c>
      <c r="F10" s="7"/>
      <c r="G10" t="s">
        <v>453</v>
      </c>
      <c r="H10" s="11">
        <v>23331</v>
      </c>
      <c r="J10" t="s">
        <v>105</v>
      </c>
      <c r="L10" t="s">
        <v>111</v>
      </c>
    </row>
    <row r="11" spans="1:12">
      <c r="D11" t="s">
        <v>454</v>
      </c>
      <c r="E11" s="7">
        <v>2</v>
      </c>
      <c r="F11" s="7"/>
      <c r="G11" t="s">
        <v>454</v>
      </c>
      <c r="H11" s="11">
        <v>6759</v>
      </c>
      <c r="J11" t="s">
        <v>58</v>
      </c>
      <c r="L11" t="s">
        <v>50</v>
      </c>
    </row>
    <row r="12" spans="1:12">
      <c r="A12" s="9" t="s">
        <v>455</v>
      </c>
      <c r="D12" t="s">
        <v>456</v>
      </c>
      <c r="E12" s="7">
        <v>5</v>
      </c>
      <c r="F12" s="7"/>
      <c r="G12" t="s">
        <v>456</v>
      </c>
      <c r="H12" s="11">
        <v>40165</v>
      </c>
      <c r="J12" t="s">
        <v>100</v>
      </c>
      <c r="L12" t="s">
        <v>41</v>
      </c>
    </row>
    <row r="13" spans="1:12">
      <c r="A13" s="13">
        <f xml:space="preserve"> B5/B4</f>
        <v>0.33333333333333331</v>
      </c>
      <c r="D13" t="s">
        <v>457</v>
      </c>
      <c r="E13" s="7">
        <v>4</v>
      </c>
      <c r="F13" s="7"/>
      <c r="G13" t="s">
        <v>457</v>
      </c>
      <c r="H13" s="11">
        <v>28457</v>
      </c>
      <c r="J13" t="s">
        <v>113</v>
      </c>
      <c r="L13" t="s">
        <v>87</v>
      </c>
    </row>
    <row r="14" spans="1:12">
      <c r="A14" s="5"/>
      <c r="D14" t="s">
        <v>458</v>
      </c>
      <c r="E14" s="7">
        <v>2</v>
      </c>
      <c r="F14" s="7"/>
      <c r="G14" t="s">
        <v>458</v>
      </c>
      <c r="H14" s="12">
        <v>5144</v>
      </c>
      <c r="J14" t="s">
        <v>49</v>
      </c>
    </row>
    <row r="15" spans="1:12">
      <c r="D15" t="s">
        <v>459</v>
      </c>
      <c r="E15" s="7">
        <v>7</v>
      </c>
      <c r="F15" s="7"/>
      <c r="G15" t="s">
        <v>459</v>
      </c>
      <c r="H15" s="11">
        <v>26442</v>
      </c>
      <c r="J15" t="s">
        <v>71</v>
      </c>
    </row>
    <row r="16" spans="1:12">
      <c r="J16" t="s">
        <v>27</v>
      </c>
    </row>
    <row r="17" spans="4:10">
      <c r="D17" s="9" t="s">
        <v>460</v>
      </c>
      <c r="E17" s="9"/>
      <c r="G17" s="9" t="s">
        <v>461</v>
      </c>
      <c r="H17" s="9"/>
      <c r="J17" t="s">
        <v>60</v>
      </c>
    </row>
    <row r="18" spans="4:10">
      <c r="D18" s="6" t="s">
        <v>14</v>
      </c>
      <c r="E18" t="s">
        <v>443</v>
      </c>
      <c r="G18" s="6" t="s">
        <v>7</v>
      </c>
      <c r="H18" s="7" t="s">
        <v>443</v>
      </c>
      <c r="J18" t="s">
        <v>115</v>
      </c>
    </row>
    <row r="19" spans="4:10">
      <c r="D19" t="s">
        <v>446</v>
      </c>
      <c r="E19" s="7">
        <v>33</v>
      </c>
      <c r="G19" t="s">
        <v>26</v>
      </c>
      <c r="H19" s="7">
        <v>3</v>
      </c>
      <c r="J19" t="s">
        <v>92</v>
      </c>
    </row>
    <row r="20" spans="4:10">
      <c r="D20" t="s">
        <v>449</v>
      </c>
      <c r="E20" s="7">
        <v>4</v>
      </c>
      <c r="G20" t="s">
        <v>34</v>
      </c>
      <c r="H20" s="7">
        <v>6</v>
      </c>
      <c r="J20" t="s">
        <v>65</v>
      </c>
    </row>
    <row r="21" spans="4:10">
      <c r="D21" t="s">
        <v>450</v>
      </c>
      <c r="E21" s="7">
        <v>1</v>
      </c>
      <c r="G21" t="s">
        <v>54</v>
      </c>
      <c r="H21" s="7">
        <v>6</v>
      </c>
      <c r="J21" t="s">
        <v>73</v>
      </c>
    </row>
    <row r="22" spans="4:10">
      <c r="D22" t="s">
        <v>451</v>
      </c>
      <c r="E22" s="7">
        <v>1</v>
      </c>
      <c r="G22" t="s">
        <v>39</v>
      </c>
      <c r="H22" s="7">
        <v>2</v>
      </c>
      <c r="J22" t="s">
        <v>79</v>
      </c>
    </row>
    <row r="23" spans="4:10">
      <c r="D23" t="s">
        <v>453</v>
      </c>
      <c r="E23" s="7">
        <v>2</v>
      </c>
      <c r="G23" t="s">
        <v>31</v>
      </c>
      <c r="H23" s="7">
        <v>5</v>
      </c>
      <c r="J23" t="s">
        <v>107</v>
      </c>
    </row>
    <row r="24" spans="4:10">
      <c r="D24" t="s">
        <v>454</v>
      </c>
      <c r="E24" s="7">
        <v>1</v>
      </c>
      <c r="G24" t="s">
        <v>45</v>
      </c>
      <c r="H24" s="7">
        <v>2</v>
      </c>
      <c r="J24" t="s">
        <v>98</v>
      </c>
    </row>
    <row r="25" spans="4:10">
      <c r="D25" t="s">
        <v>457</v>
      </c>
      <c r="E25" s="7">
        <v>1</v>
      </c>
      <c r="G25" t="s">
        <v>77</v>
      </c>
      <c r="H25" s="7">
        <v>6</v>
      </c>
      <c r="J25" t="s">
        <v>46</v>
      </c>
    </row>
    <row r="26" spans="4:10">
      <c r="D26" t="s">
        <v>459</v>
      </c>
      <c r="E26" s="7">
        <v>1</v>
      </c>
      <c r="G26" t="s">
        <v>21</v>
      </c>
      <c r="H26" s="7">
        <v>3</v>
      </c>
    </row>
    <row r="28" spans="4:10">
      <c r="H28" s="7"/>
    </row>
    <row r="29" spans="4:10">
      <c r="G29" s="9" t="s">
        <v>462</v>
      </c>
      <c r="H29" s="9"/>
    </row>
    <row r="30" spans="4:10">
      <c r="G30" s="6" t="s">
        <v>5</v>
      </c>
      <c r="H30" s="7" t="s">
        <v>443</v>
      </c>
    </row>
    <row r="31" spans="4:10">
      <c r="G31" t="s">
        <v>76</v>
      </c>
      <c r="H31" s="7">
        <v>3</v>
      </c>
    </row>
    <row r="32" spans="4:10">
      <c r="G32" t="s">
        <v>57</v>
      </c>
      <c r="H32" s="7">
        <v>3</v>
      </c>
    </row>
    <row r="33" spans="7:8">
      <c r="G33" t="s">
        <v>44</v>
      </c>
      <c r="H33" s="7">
        <v>2</v>
      </c>
    </row>
    <row r="34" spans="7:8">
      <c r="G34" t="s">
        <v>89</v>
      </c>
      <c r="H34" s="7">
        <v>3</v>
      </c>
    </row>
    <row r="35" spans="7:8">
      <c r="G35" t="s">
        <v>20</v>
      </c>
      <c r="H35" s="7">
        <v>1</v>
      </c>
    </row>
    <row r="36" spans="7:8">
      <c r="G36" t="s">
        <v>68</v>
      </c>
      <c r="H36" s="7">
        <v>3</v>
      </c>
    </row>
    <row r="37" spans="7:8">
      <c r="G37" t="s">
        <v>63</v>
      </c>
      <c r="H37" s="7">
        <v>2</v>
      </c>
    </row>
    <row r="38" spans="7:8">
      <c r="G38" t="s">
        <v>30</v>
      </c>
      <c r="H38" s="7">
        <v>5</v>
      </c>
    </row>
    <row r="39" spans="7:8">
      <c r="G39" t="s">
        <v>33</v>
      </c>
      <c r="H39" s="7">
        <v>3</v>
      </c>
    </row>
    <row r="40" spans="7:8">
      <c r="G40" t="s">
        <v>38</v>
      </c>
      <c r="H40" s="7">
        <v>2</v>
      </c>
    </row>
    <row r="41" spans="7:8">
      <c r="G41" t="s">
        <v>48</v>
      </c>
      <c r="H41" s="7">
        <v>2</v>
      </c>
    </row>
    <row r="42" spans="7:8">
      <c r="G42" t="s">
        <v>25</v>
      </c>
      <c r="H42" s="7">
        <v>1</v>
      </c>
    </row>
    <row r="43" spans="7:8">
      <c r="G43" t="s">
        <v>53</v>
      </c>
      <c r="H43" s="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E182C-7A5C-4C59-88E8-1A6F5428C181}">
  <dimension ref="A1:Q91"/>
  <sheetViews>
    <sheetView showGridLines="0" tabSelected="1" topLeftCell="A46" workbookViewId="0">
      <selection activeCell="J99" sqref="J99"/>
    </sheetView>
  </sheetViews>
  <sheetFormatPr defaultRowHeight="15"/>
  <cols>
    <col min="1" max="1" width="38.5703125" bestFit="1" customWidth="1"/>
    <col min="2" max="2" width="35.28515625" customWidth="1"/>
    <col min="3" max="3" width="1.42578125" customWidth="1"/>
    <col min="4" max="4" width="16.85546875" customWidth="1"/>
    <col min="5" max="5" width="1.5703125" customWidth="1"/>
    <col min="6" max="6" width="33.5703125" bestFit="1" customWidth="1"/>
    <col min="7" max="7" width="2.140625" customWidth="1"/>
    <col min="8" max="8" width="34.85546875" bestFit="1" customWidth="1"/>
    <col min="9" max="9" width="1.140625" customWidth="1"/>
    <col min="10" max="10" width="43.85546875" customWidth="1"/>
    <col min="11" max="11" width="2.7109375" customWidth="1"/>
    <col min="12" max="12" width="64.5703125" bestFit="1" customWidth="1"/>
    <col min="13" max="13" width="2.7109375" customWidth="1"/>
    <col min="14" max="14" width="48" customWidth="1"/>
    <col min="15" max="15" width="61" bestFit="1" customWidth="1"/>
    <col min="16" max="16" width="61" customWidth="1"/>
    <col min="17" max="17" width="59.140625" bestFit="1" customWidth="1"/>
    <col min="18" max="19" width="14.42578125" bestFit="1" customWidth="1"/>
    <col min="20" max="20" width="13.28515625" bestFit="1" customWidth="1"/>
    <col min="21" max="21" width="15" bestFit="1" customWidth="1"/>
    <col min="22" max="22" width="13.42578125" bestFit="1" customWidth="1"/>
    <col min="23" max="23" width="14.42578125" bestFit="1" customWidth="1"/>
    <col min="24" max="24" width="13.42578125" bestFit="1" customWidth="1"/>
    <col min="25" max="25" width="11.28515625" bestFit="1" customWidth="1"/>
    <col min="26" max="26" width="16.140625" bestFit="1" customWidth="1"/>
    <col min="27" max="27" width="12.85546875" bestFit="1" customWidth="1"/>
    <col min="28" max="28" width="11.5703125" bestFit="1" customWidth="1"/>
    <col min="29" max="29" width="11.7109375" bestFit="1" customWidth="1"/>
    <col min="30" max="30" width="11.42578125" bestFit="1" customWidth="1"/>
    <col min="31" max="31" width="11" bestFit="1" customWidth="1"/>
    <col min="32" max="32" width="9.5703125" bestFit="1" customWidth="1"/>
    <col min="33" max="33" width="10.7109375" bestFit="1" customWidth="1"/>
    <col min="34" max="34" width="14.28515625" bestFit="1" customWidth="1"/>
    <col min="35" max="35" width="13.85546875" bestFit="1" customWidth="1"/>
    <col min="36" max="36" width="14" bestFit="1" customWidth="1"/>
    <col min="37" max="37" width="16.28515625" bestFit="1" customWidth="1"/>
    <col min="38" max="38" width="14.7109375" bestFit="1" customWidth="1"/>
    <col min="39" max="39" width="13.28515625" bestFit="1" customWidth="1"/>
    <col min="40" max="40" width="16.7109375" bestFit="1" customWidth="1"/>
    <col min="41" max="41" width="12.85546875" bestFit="1" customWidth="1"/>
    <col min="42" max="42" width="13.7109375" bestFit="1" customWidth="1"/>
    <col min="43" max="43" width="15.42578125" bestFit="1" customWidth="1"/>
    <col min="44" max="44" width="13.42578125" bestFit="1" customWidth="1"/>
    <col min="45" max="45" width="16.85546875" bestFit="1" customWidth="1"/>
    <col min="46" max="46" width="13.42578125" bestFit="1" customWidth="1"/>
    <col min="47" max="47" width="13.7109375" bestFit="1" customWidth="1"/>
    <col min="48" max="48" width="12.28515625" bestFit="1" customWidth="1"/>
    <col min="49" max="49" width="15.42578125" bestFit="1" customWidth="1"/>
    <col min="50" max="50" width="10.42578125" bestFit="1" customWidth="1"/>
    <col min="51" max="51" width="12.140625" bestFit="1" customWidth="1"/>
    <col min="52" max="52" width="13.28515625" bestFit="1" customWidth="1"/>
    <col min="53" max="53" width="12.5703125" bestFit="1" customWidth="1"/>
    <col min="54" max="54" width="11.5703125" bestFit="1" customWidth="1"/>
    <col min="55" max="55" width="15.140625" bestFit="1" customWidth="1"/>
    <col min="56" max="56" width="15.7109375" bestFit="1" customWidth="1"/>
    <col min="57" max="57" width="16.42578125" bestFit="1" customWidth="1"/>
    <col min="58" max="58" width="17.85546875" bestFit="1" customWidth="1"/>
    <col min="59" max="59" width="13.42578125" bestFit="1" customWidth="1"/>
    <col min="60" max="60" width="12.140625" bestFit="1" customWidth="1"/>
    <col min="61" max="61" width="14.5703125" bestFit="1" customWidth="1"/>
    <col min="62" max="62" width="12.5703125" bestFit="1" customWidth="1"/>
    <col min="63" max="63" width="14.5703125" bestFit="1" customWidth="1"/>
    <col min="64" max="64" width="19.28515625" bestFit="1" customWidth="1"/>
    <col min="65" max="65" width="13.28515625" bestFit="1" customWidth="1"/>
    <col min="66" max="66" width="14.42578125" bestFit="1" customWidth="1"/>
    <col min="67" max="67" width="12.85546875" bestFit="1" customWidth="1"/>
    <col min="68" max="68" width="11.7109375" bestFit="1" customWidth="1"/>
    <col min="69" max="69" width="13.5703125" bestFit="1" customWidth="1"/>
    <col min="70" max="70" width="10.5703125" bestFit="1" customWidth="1"/>
    <col min="71" max="71" width="9.42578125" bestFit="1" customWidth="1"/>
    <col min="72" max="72" width="11.7109375" bestFit="1" customWidth="1"/>
    <col min="73" max="73" width="12.5703125" bestFit="1" customWidth="1"/>
    <col min="74" max="74" width="11.5703125" bestFit="1" customWidth="1"/>
    <col min="75" max="75" width="14.28515625" bestFit="1" customWidth="1"/>
    <col min="76" max="76" width="13" bestFit="1" customWidth="1"/>
    <col min="77" max="77" width="11" bestFit="1" customWidth="1"/>
    <col min="78" max="78" width="13.85546875" bestFit="1" customWidth="1"/>
    <col min="79" max="79" width="15.28515625" bestFit="1" customWidth="1"/>
    <col min="80" max="80" width="13.85546875" bestFit="1" customWidth="1"/>
    <col min="81" max="81" width="11.42578125" bestFit="1" customWidth="1"/>
    <col min="82" max="82" width="12" bestFit="1" customWidth="1"/>
    <col min="83" max="83" width="15" bestFit="1" customWidth="1"/>
    <col min="84" max="84" width="18.42578125" bestFit="1" customWidth="1"/>
    <col min="85" max="85" width="16.140625" bestFit="1" customWidth="1"/>
    <col min="86" max="86" width="16.28515625" bestFit="1" customWidth="1"/>
    <col min="87" max="87" width="17.7109375" bestFit="1" customWidth="1"/>
    <col min="88" max="89" width="15.5703125" bestFit="1" customWidth="1"/>
    <col min="90" max="90" width="12" bestFit="1" customWidth="1"/>
    <col min="91" max="91" width="13" bestFit="1" customWidth="1"/>
    <col min="92" max="92" width="17.85546875" bestFit="1" customWidth="1"/>
    <col min="93" max="93" width="14.140625" bestFit="1" customWidth="1"/>
    <col min="94" max="95" width="13.5703125" bestFit="1" customWidth="1"/>
    <col min="96" max="96" width="17.5703125" bestFit="1" customWidth="1"/>
    <col min="97" max="97" width="13.7109375" bestFit="1" customWidth="1"/>
    <col min="98" max="98" width="16.5703125" bestFit="1" customWidth="1"/>
    <col min="99" max="99" width="12.5703125" bestFit="1" customWidth="1"/>
    <col min="100" max="100" width="15.5703125" bestFit="1" customWidth="1"/>
    <col min="101" max="101" width="13.5703125" bestFit="1" customWidth="1"/>
    <col min="102" max="102" width="17.140625" bestFit="1" customWidth="1"/>
    <col min="103" max="103" width="13.42578125" bestFit="1" customWidth="1"/>
    <col min="104" max="104" width="12.7109375" bestFit="1" customWidth="1"/>
    <col min="105" max="106" width="12.85546875" bestFit="1" customWidth="1"/>
    <col min="107" max="107" width="14.28515625" bestFit="1" customWidth="1"/>
    <col min="108" max="108" width="14.42578125" bestFit="1" customWidth="1"/>
    <col min="109" max="109" width="10.7109375" bestFit="1" customWidth="1"/>
    <col min="110" max="110" width="11.7109375" bestFit="1" customWidth="1"/>
    <col min="111" max="111" width="11.140625" bestFit="1" customWidth="1"/>
    <col min="112" max="112" width="12.140625" bestFit="1" customWidth="1"/>
    <col min="113" max="114" width="14.140625" bestFit="1" customWidth="1"/>
    <col min="115" max="115" width="11" bestFit="1" customWidth="1"/>
    <col min="116" max="116" width="12.140625" bestFit="1" customWidth="1"/>
    <col min="117" max="117" width="15.42578125" bestFit="1" customWidth="1"/>
    <col min="118" max="118" width="14.28515625" bestFit="1" customWidth="1"/>
    <col min="119" max="119" width="17.85546875" bestFit="1" customWidth="1"/>
    <col min="120" max="120" width="13.42578125" bestFit="1" customWidth="1"/>
    <col min="121" max="121" width="14.5703125" bestFit="1" customWidth="1"/>
    <col min="122" max="123" width="16.42578125" bestFit="1" customWidth="1"/>
    <col min="124" max="124" width="15.28515625" bestFit="1" customWidth="1"/>
    <col min="125" max="125" width="16.28515625" bestFit="1" customWidth="1"/>
    <col min="126" max="126" width="14.28515625" bestFit="1" customWidth="1"/>
    <col min="127" max="127" width="14.140625" bestFit="1" customWidth="1"/>
    <col min="128" max="128" width="17.140625" bestFit="1" customWidth="1"/>
    <col min="129" max="129" width="14.42578125" bestFit="1" customWidth="1"/>
    <col min="130" max="130" width="15" bestFit="1" customWidth="1"/>
    <col min="131" max="131" width="12.140625" bestFit="1" customWidth="1"/>
    <col min="132" max="132" width="13.7109375" bestFit="1" customWidth="1"/>
    <col min="133" max="133" width="15.5703125" bestFit="1" customWidth="1"/>
    <col min="134" max="134" width="14.42578125" bestFit="1" customWidth="1"/>
    <col min="135" max="136" width="11.140625" bestFit="1" customWidth="1"/>
    <col min="137" max="137" width="12.140625" bestFit="1" customWidth="1"/>
    <col min="138" max="138" width="17.42578125" bestFit="1" customWidth="1"/>
    <col min="139" max="139" width="14.5703125" bestFit="1" customWidth="1"/>
    <col min="140" max="140" width="16.5703125" bestFit="1" customWidth="1"/>
    <col min="141" max="141" width="14" bestFit="1" customWidth="1"/>
    <col min="142" max="142" width="14.85546875" bestFit="1" customWidth="1"/>
    <col min="143" max="143" width="15" bestFit="1" customWidth="1"/>
    <col min="144" max="144" width="14.140625" bestFit="1" customWidth="1"/>
    <col min="145" max="145" width="11.42578125" bestFit="1" customWidth="1"/>
    <col min="146" max="146" width="13.7109375" bestFit="1" customWidth="1"/>
    <col min="147" max="147" width="18.42578125" bestFit="1" customWidth="1"/>
    <col min="148" max="148" width="13" bestFit="1" customWidth="1"/>
    <col min="149" max="149" width="14.85546875" bestFit="1" customWidth="1"/>
    <col min="150" max="150" width="10.5703125" bestFit="1" customWidth="1"/>
    <col min="151" max="151" width="11.7109375" bestFit="1" customWidth="1"/>
    <col min="152" max="152" width="10" bestFit="1" customWidth="1"/>
    <col min="153" max="153" width="12.5703125" bestFit="1" customWidth="1"/>
    <col min="154" max="154" width="14.7109375" bestFit="1" customWidth="1"/>
    <col min="155" max="155" width="9.85546875" bestFit="1" customWidth="1"/>
    <col min="156" max="156" width="14.42578125" bestFit="1" customWidth="1"/>
    <col min="157" max="157" width="12" bestFit="1" customWidth="1"/>
    <col min="158" max="158" width="14.28515625" bestFit="1" customWidth="1"/>
    <col min="159" max="159" width="13" bestFit="1" customWidth="1"/>
    <col min="160" max="160" width="12.42578125" bestFit="1" customWidth="1"/>
    <col min="161" max="161" width="14" bestFit="1" customWidth="1"/>
    <col min="162" max="162" width="13.85546875" bestFit="1" customWidth="1"/>
    <col min="163" max="163" width="15.85546875" bestFit="1" customWidth="1"/>
    <col min="164" max="164" width="13" bestFit="1" customWidth="1"/>
    <col min="165" max="165" width="11.5703125" bestFit="1" customWidth="1"/>
    <col min="166" max="166" width="12.7109375" bestFit="1" customWidth="1"/>
    <col min="167" max="167" width="13.85546875" bestFit="1" customWidth="1"/>
    <col min="168" max="168" width="11.85546875" bestFit="1" customWidth="1"/>
    <col min="169" max="169" width="13.85546875" bestFit="1" customWidth="1"/>
    <col min="170" max="170" width="13.7109375" bestFit="1" customWidth="1"/>
    <col min="171" max="171" width="15" bestFit="1" customWidth="1"/>
    <col min="172" max="172" width="11.42578125" bestFit="1" customWidth="1"/>
    <col min="173" max="173" width="14.140625" bestFit="1" customWidth="1"/>
    <col min="174" max="174" width="13.7109375" bestFit="1" customWidth="1"/>
    <col min="175" max="175" width="15.85546875" bestFit="1" customWidth="1"/>
    <col min="176" max="176" width="11.5703125" bestFit="1" customWidth="1"/>
    <col min="177" max="177" width="12.7109375" bestFit="1" customWidth="1"/>
    <col min="178" max="178" width="13.7109375" bestFit="1" customWidth="1"/>
    <col min="179" max="179" width="13" bestFit="1" customWidth="1"/>
    <col min="180" max="180" width="16.42578125" bestFit="1" customWidth="1"/>
    <col min="181" max="181" width="14" bestFit="1" customWidth="1"/>
    <col min="182" max="182" width="16" bestFit="1" customWidth="1"/>
    <col min="183" max="183" width="19.7109375" bestFit="1" customWidth="1"/>
    <col min="184" max="184" width="16" bestFit="1" customWidth="1"/>
    <col min="185" max="185" width="15.42578125" bestFit="1" customWidth="1"/>
    <col min="186" max="186" width="12.85546875" bestFit="1" customWidth="1"/>
    <col min="187" max="187" width="14.28515625" bestFit="1" customWidth="1"/>
    <col min="188" max="188" width="13.28515625" bestFit="1" customWidth="1"/>
    <col min="189" max="189" width="16.28515625" bestFit="1" customWidth="1"/>
    <col min="190" max="190" width="11.140625" bestFit="1" customWidth="1"/>
    <col min="191" max="191" width="14.28515625" bestFit="1" customWidth="1"/>
    <col min="192" max="192" width="17.85546875" bestFit="1" customWidth="1"/>
    <col min="193" max="193" width="14" bestFit="1" customWidth="1"/>
    <col min="194" max="194" width="12.42578125" bestFit="1" customWidth="1"/>
    <col min="195" max="195" width="15.85546875" bestFit="1" customWidth="1"/>
    <col min="196" max="196" width="13" bestFit="1" customWidth="1"/>
    <col min="197" max="197" width="11.140625" bestFit="1" customWidth="1"/>
    <col min="198" max="198" width="11.7109375" bestFit="1" customWidth="1"/>
    <col min="199" max="199" width="12.140625" bestFit="1" customWidth="1"/>
    <col min="200" max="200" width="12.28515625" bestFit="1" customWidth="1"/>
    <col min="201" max="201" width="13.5703125" bestFit="1" customWidth="1"/>
    <col min="202" max="202" width="10.28515625" bestFit="1" customWidth="1"/>
    <col min="203" max="203" width="12.140625" bestFit="1" customWidth="1"/>
    <col min="204" max="204" width="14.85546875" bestFit="1" customWidth="1"/>
    <col min="205" max="205" width="15.5703125" bestFit="1" customWidth="1"/>
    <col min="206" max="206" width="15.42578125" bestFit="1" customWidth="1"/>
    <col min="207" max="207" width="13.28515625" bestFit="1" customWidth="1"/>
    <col min="208" max="208" width="11.140625" bestFit="1" customWidth="1"/>
    <col min="209" max="209" width="14" bestFit="1" customWidth="1"/>
    <col min="210" max="210" width="17.85546875" bestFit="1" customWidth="1"/>
    <col min="211" max="211" width="11.5703125" bestFit="1" customWidth="1"/>
    <col min="212" max="212" width="14.140625" bestFit="1" customWidth="1"/>
    <col min="213" max="213" width="14.42578125" bestFit="1" customWidth="1"/>
    <col min="214" max="215" width="15.5703125" bestFit="1" customWidth="1"/>
    <col min="216" max="216" width="12.5703125" bestFit="1" customWidth="1"/>
    <col min="217" max="217" width="15.42578125" bestFit="1" customWidth="1"/>
    <col min="218" max="218" width="13.42578125" bestFit="1" customWidth="1"/>
    <col min="219" max="219" width="13.7109375" bestFit="1" customWidth="1"/>
    <col min="220" max="220" width="13.5703125" bestFit="1" customWidth="1"/>
    <col min="221" max="221" width="14.5703125" bestFit="1" customWidth="1"/>
    <col min="222" max="222" width="11" bestFit="1" customWidth="1"/>
    <col min="223" max="223" width="11.42578125" bestFit="1" customWidth="1"/>
    <col min="224" max="224" width="14.5703125" bestFit="1" customWidth="1"/>
    <col min="225" max="225" width="13.28515625" bestFit="1" customWidth="1"/>
    <col min="226" max="226" width="11.28515625" bestFit="1" customWidth="1"/>
    <col min="227" max="227" width="12.42578125" bestFit="1" customWidth="1"/>
    <col min="228" max="228" width="16.7109375" bestFit="1" customWidth="1"/>
    <col min="229" max="229" width="14.5703125" bestFit="1" customWidth="1"/>
    <col min="230" max="230" width="18.42578125" bestFit="1" customWidth="1"/>
    <col min="231" max="231" width="14.140625" bestFit="1" customWidth="1"/>
    <col min="232" max="232" width="11.5703125" bestFit="1" customWidth="1"/>
    <col min="233" max="233" width="12.5703125" bestFit="1" customWidth="1"/>
    <col min="234" max="234" width="13" bestFit="1" customWidth="1"/>
    <col min="235" max="235" width="14.28515625" bestFit="1" customWidth="1"/>
    <col min="236" max="236" width="14.140625" bestFit="1" customWidth="1"/>
    <col min="237" max="237" width="13.5703125" bestFit="1" customWidth="1"/>
    <col min="238" max="238" width="10.7109375" bestFit="1" customWidth="1"/>
    <col min="239" max="239" width="13.42578125" bestFit="1" customWidth="1"/>
    <col min="240" max="240" width="14.7109375" bestFit="1" customWidth="1"/>
    <col min="241" max="241" width="13.28515625" bestFit="1" customWidth="1"/>
    <col min="242" max="242" width="13.5703125" bestFit="1" customWidth="1"/>
    <col min="243" max="243" width="11" bestFit="1" customWidth="1"/>
    <col min="244" max="244" width="14.42578125" bestFit="1" customWidth="1"/>
    <col min="245" max="245" width="12" bestFit="1" customWidth="1"/>
    <col min="246" max="246" width="13.7109375" bestFit="1" customWidth="1"/>
    <col min="247" max="247" width="13.28515625" bestFit="1" customWidth="1"/>
    <col min="248" max="248" width="15.28515625" bestFit="1" customWidth="1"/>
    <col min="249" max="249" width="14.42578125" bestFit="1" customWidth="1"/>
    <col min="250" max="250" width="14.5703125" bestFit="1" customWidth="1"/>
    <col min="251" max="251" width="14.85546875" bestFit="1" customWidth="1"/>
    <col min="252" max="252" width="16.5703125" bestFit="1" customWidth="1"/>
    <col min="253" max="253" width="12.42578125" bestFit="1" customWidth="1"/>
    <col min="254" max="254" width="15.140625" bestFit="1" customWidth="1"/>
    <col min="255" max="255" width="14" bestFit="1" customWidth="1"/>
    <col min="256" max="256" width="15.7109375" bestFit="1" customWidth="1"/>
    <col min="257" max="257" width="12" bestFit="1" customWidth="1"/>
    <col min="258" max="258" width="15.28515625" bestFit="1" customWidth="1"/>
    <col min="259" max="259" width="14.28515625" bestFit="1" customWidth="1"/>
    <col min="260" max="260" width="15.28515625" bestFit="1" customWidth="1"/>
    <col min="261" max="261" width="14.7109375" bestFit="1" customWidth="1"/>
    <col min="262" max="262" width="13.85546875" bestFit="1" customWidth="1"/>
    <col min="263" max="263" width="14.28515625" bestFit="1" customWidth="1"/>
    <col min="264" max="264" width="13.42578125" bestFit="1" customWidth="1"/>
    <col min="265" max="265" width="12.28515625" bestFit="1" customWidth="1"/>
    <col min="266" max="266" width="15.42578125" bestFit="1" customWidth="1"/>
    <col min="267" max="267" width="12.42578125" bestFit="1" customWidth="1"/>
    <col min="268" max="268" width="11.28515625" bestFit="1" customWidth="1"/>
    <col min="269" max="269" width="13.28515625" bestFit="1" customWidth="1"/>
    <col min="270" max="270" width="14.85546875" bestFit="1" customWidth="1"/>
    <col min="271" max="271" width="12.28515625" bestFit="1" customWidth="1"/>
    <col min="272" max="272" width="12.5703125" bestFit="1" customWidth="1"/>
    <col min="273" max="273" width="14.140625" bestFit="1" customWidth="1"/>
    <col min="274" max="274" width="12.7109375" bestFit="1" customWidth="1"/>
    <col min="275" max="275" width="14" bestFit="1" customWidth="1"/>
    <col min="276" max="276" width="11.5703125" bestFit="1" customWidth="1"/>
    <col min="277" max="277" width="13.7109375" bestFit="1" customWidth="1"/>
    <col min="278" max="278" width="12.85546875" bestFit="1" customWidth="1"/>
    <col min="279" max="279" width="17.42578125" bestFit="1" customWidth="1"/>
    <col min="280" max="280" width="12.5703125" bestFit="1" customWidth="1"/>
    <col min="281" max="281" width="13.5703125" bestFit="1" customWidth="1"/>
    <col min="282" max="282" width="16.85546875" bestFit="1" customWidth="1"/>
    <col min="283" max="283" width="14.7109375" bestFit="1" customWidth="1"/>
    <col min="284" max="284" width="11.7109375" bestFit="1" customWidth="1"/>
    <col min="285" max="285" width="17" bestFit="1" customWidth="1"/>
    <col min="286" max="286" width="19.85546875" bestFit="1" customWidth="1"/>
    <col min="287" max="287" width="14.5703125" bestFit="1" customWidth="1"/>
    <col min="288" max="288" width="18.140625" bestFit="1" customWidth="1"/>
    <col min="289" max="289" width="15" bestFit="1" customWidth="1"/>
    <col min="290" max="290" width="14.28515625" bestFit="1" customWidth="1"/>
    <col min="291" max="292" width="15.85546875" bestFit="1" customWidth="1"/>
    <col min="293" max="293" width="16.5703125" bestFit="1" customWidth="1"/>
    <col min="294" max="294" width="13.5703125" bestFit="1" customWidth="1"/>
    <col min="295" max="295" width="15.5703125" bestFit="1" customWidth="1"/>
    <col min="296" max="296" width="13.28515625" bestFit="1" customWidth="1"/>
    <col min="297" max="297" width="14.140625" bestFit="1" customWidth="1"/>
    <col min="298" max="298" width="13.42578125" bestFit="1" customWidth="1"/>
    <col min="299" max="299" width="12.28515625" bestFit="1" customWidth="1"/>
    <col min="300" max="300" width="13.28515625" bestFit="1" customWidth="1"/>
    <col min="301" max="301" width="13.42578125" bestFit="1" customWidth="1"/>
    <col min="302" max="302" width="14.140625" bestFit="1" customWidth="1"/>
    <col min="303" max="303" width="11" bestFit="1" customWidth="1"/>
    <col min="304" max="304" width="13.28515625" bestFit="1" customWidth="1"/>
    <col min="305" max="305" width="16.85546875" bestFit="1" customWidth="1"/>
    <col min="306" max="306" width="15.85546875" bestFit="1" customWidth="1"/>
    <col min="307" max="307" width="12.7109375" bestFit="1" customWidth="1"/>
    <col min="308" max="308" width="15.42578125" bestFit="1" customWidth="1"/>
    <col min="309" max="309" width="13" bestFit="1" customWidth="1"/>
    <col min="310" max="310" width="11.85546875" bestFit="1" customWidth="1"/>
    <col min="311" max="311" width="17.140625" bestFit="1" customWidth="1"/>
    <col min="312" max="312" width="13.42578125" bestFit="1" customWidth="1"/>
    <col min="313" max="313" width="15.28515625" bestFit="1" customWidth="1"/>
    <col min="314" max="314" width="12.140625" bestFit="1" customWidth="1"/>
    <col min="315" max="315" width="8.7109375" bestFit="1" customWidth="1"/>
    <col min="316" max="316" width="11.140625" bestFit="1" customWidth="1"/>
    <col min="317" max="317" width="12" bestFit="1" customWidth="1"/>
    <col min="318" max="318" width="11" bestFit="1" customWidth="1"/>
    <col min="319" max="319" width="15.85546875" bestFit="1" customWidth="1"/>
    <col min="320" max="320" width="19.140625" bestFit="1" customWidth="1"/>
    <col min="321" max="321" width="15.7109375" bestFit="1" customWidth="1"/>
    <col min="322" max="322" width="19" bestFit="1" customWidth="1"/>
    <col min="323" max="323" width="17.85546875" bestFit="1" customWidth="1"/>
    <col min="324" max="324" width="21" bestFit="1" customWidth="1"/>
    <col min="325" max="325" width="15" bestFit="1" customWidth="1"/>
    <col min="326" max="326" width="18.28515625" bestFit="1" customWidth="1"/>
    <col min="327" max="327" width="13.5703125" bestFit="1" customWidth="1"/>
    <col min="328" max="328" width="16.7109375" bestFit="1" customWidth="1"/>
    <col min="329" max="329" width="14.7109375" bestFit="1" customWidth="1"/>
    <col min="330" max="330" width="18.140625" bestFit="1" customWidth="1"/>
    <col min="331" max="331" width="15.7109375" bestFit="1" customWidth="1"/>
    <col min="332" max="332" width="19" bestFit="1" customWidth="1"/>
    <col min="333" max="333" width="13.85546875" bestFit="1" customWidth="1"/>
    <col min="334" max="334" width="17" bestFit="1" customWidth="1"/>
    <col min="335" max="335" width="15.7109375" bestFit="1" customWidth="1"/>
    <col min="336" max="336" width="19" bestFit="1" customWidth="1"/>
    <col min="337" max="337" width="15.5703125" bestFit="1" customWidth="1"/>
    <col min="338" max="338" width="18.7109375" bestFit="1" customWidth="1"/>
    <col min="339" max="339" width="16.85546875" bestFit="1" customWidth="1"/>
    <col min="340" max="340" width="20.28515625" bestFit="1" customWidth="1"/>
    <col min="341" max="341" width="13.42578125" bestFit="1" customWidth="1"/>
    <col min="342" max="342" width="16.5703125" bestFit="1" customWidth="1"/>
    <col min="343" max="343" width="16" bestFit="1" customWidth="1"/>
    <col min="344" max="344" width="19.42578125" bestFit="1" customWidth="1"/>
    <col min="345" max="345" width="15.5703125" bestFit="1" customWidth="1"/>
    <col min="346" max="346" width="18.85546875" bestFit="1" customWidth="1"/>
    <col min="347" max="347" width="17.85546875" bestFit="1" customWidth="1"/>
    <col min="348" max="348" width="21" bestFit="1" customWidth="1"/>
    <col min="349" max="349" width="13.5703125" bestFit="1" customWidth="1"/>
    <col min="350" max="350" width="16.7109375" bestFit="1" customWidth="1"/>
    <col min="351" max="351" width="14.7109375" bestFit="1" customWidth="1"/>
    <col min="352" max="352" width="18" bestFit="1" customWidth="1"/>
    <col min="353" max="353" width="15.5703125" bestFit="1" customWidth="1"/>
    <col min="354" max="354" width="18.85546875" bestFit="1" customWidth="1"/>
    <col min="355" max="355" width="15" bestFit="1" customWidth="1"/>
    <col min="356" max="356" width="18.28515625" bestFit="1" customWidth="1"/>
    <col min="357" max="357" width="18.42578125" bestFit="1" customWidth="1"/>
    <col min="358" max="358" width="21.7109375" bestFit="1" customWidth="1"/>
    <col min="359" max="359" width="15.85546875" bestFit="1" customWidth="1"/>
    <col min="360" max="360" width="19.140625" bestFit="1" customWidth="1"/>
    <col min="361" max="361" width="18" bestFit="1" customWidth="1"/>
    <col min="362" max="362" width="21.140625" bestFit="1" customWidth="1"/>
    <col min="363" max="363" width="21.7109375" bestFit="1" customWidth="1"/>
    <col min="364" max="364" width="25" bestFit="1" customWidth="1"/>
    <col min="365" max="365" width="18" bestFit="1" customWidth="1"/>
    <col min="366" max="366" width="21.140625" bestFit="1" customWidth="1"/>
    <col min="367" max="367" width="17.42578125" bestFit="1" customWidth="1"/>
    <col min="368" max="368" width="20.5703125" bestFit="1" customWidth="1"/>
    <col min="369" max="369" width="14.85546875" bestFit="1" customWidth="1"/>
    <col min="370" max="370" width="18" bestFit="1" customWidth="1"/>
    <col min="371" max="371" width="16.140625" bestFit="1" customWidth="1"/>
    <col min="372" max="372" width="19.42578125" bestFit="1" customWidth="1"/>
    <col min="373" max="373" width="15.140625" bestFit="1" customWidth="1"/>
    <col min="374" max="374" width="18.42578125" bestFit="1" customWidth="1"/>
    <col min="375" max="375" width="18.28515625" bestFit="1" customWidth="1"/>
    <col min="376" max="376" width="21.5703125" bestFit="1" customWidth="1"/>
    <col min="377" max="377" width="13" bestFit="1" customWidth="1"/>
    <col min="378" max="378" width="16.28515625" bestFit="1" customWidth="1"/>
    <col min="379" max="379" width="16.140625" bestFit="1" customWidth="1"/>
    <col min="380" max="380" width="19.42578125" bestFit="1" customWidth="1"/>
    <col min="381" max="381" width="19.7109375" bestFit="1" customWidth="1"/>
    <col min="382" max="382" width="23" bestFit="1" customWidth="1"/>
    <col min="383" max="383" width="15.85546875" bestFit="1" customWidth="1"/>
    <col min="384" max="384" width="19.140625" bestFit="1" customWidth="1"/>
    <col min="385" max="385" width="14.42578125" bestFit="1" customWidth="1"/>
    <col min="386" max="386" width="17.5703125" bestFit="1" customWidth="1"/>
    <col min="387" max="387" width="17.85546875" bestFit="1" customWidth="1"/>
    <col min="388" max="388" width="21" bestFit="1" customWidth="1"/>
    <col min="389" max="389" width="15" bestFit="1" customWidth="1"/>
    <col min="390" max="390" width="18.28515625" bestFit="1" customWidth="1"/>
    <col min="391" max="391" width="13" bestFit="1" customWidth="1"/>
    <col min="392" max="392" width="16.42578125" bestFit="1" customWidth="1"/>
    <col min="393" max="393" width="13.7109375" bestFit="1" customWidth="1"/>
    <col min="394" max="394" width="16.85546875" bestFit="1" customWidth="1"/>
    <col min="395" max="395" width="14.140625" bestFit="1" customWidth="1"/>
    <col min="396" max="396" width="17.42578125" bestFit="1" customWidth="1"/>
    <col min="397" max="397" width="14.28515625" bestFit="1" customWidth="1"/>
    <col min="398" max="398" width="17.5703125" bestFit="1" customWidth="1"/>
    <col min="399" max="399" width="15.42578125" bestFit="1" customWidth="1"/>
    <col min="400" max="400" width="18.85546875" bestFit="1" customWidth="1"/>
    <col min="401" max="401" width="12.140625" bestFit="1" customWidth="1"/>
    <col min="402" max="402" width="15.42578125" bestFit="1" customWidth="1"/>
    <col min="403" max="403" width="14.140625" bestFit="1" customWidth="1"/>
    <col min="404" max="404" width="17.42578125" bestFit="1" customWidth="1"/>
    <col min="405" max="405" width="16.7109375" bestFit="1" customWidth="1"/>
    <col min="406" max="406" width="20" bestFit="1" customWidth="1"/>
    <col min="407" max="407" width="17.5703125" bestFit="1" customWidth="1"/>
    <col min="408" max="408" width="20.7109375" bestFit="1" customWidth="1"/>
    <col min="409" max="409" width="17.42578125" bestFit="1" customWidth="1"/>
    <col min="410" max="410" width="20.5703125" bestFit="1" customWidth="1"/>
    <col min="411" max="411" width="15.140625" bestFit="1" customWidth="1"/>
    <col min="412" max="412" width="18.42578125" bestFit="1" customWidth="1"/>
    <col min="413" max="413" width="13" bestFit="1" customWidth="1"/>
    <col min="414" max="414" width="16.28515625" bestFit="1" customWidth="1"/>
    <col min="415" max="415" width="15.85546875" bestFit="1" customWidth="1"/>
    <col min="416" max="416" width="19.140625" bestFit="1" customWidth="1"/>
    <col min="417" max="417" width="19.7109375" bestFit="1" customWidth="1"/>
    <col min="418" max="418" width="23" bestFit="1" customWidth="1"/>
    <col min="419" max="419" width="13.5703125" bestFit="1" customWidth="1"/>
    <col min="420" max="420" width="16.7109375" bestFit="1" customWidth="1"/>
    <col min="421" max="421" width="16" bestFit="1" customWidth="1"/>
    <col min="422" max="422" width="19.28515625" bestFit="1" customWidth="1"/>
    <col min="423" max="423" width="16.28515625" bestFit="1" customWidth="1"/>
    <col min="424" max="424" width="19.42578125" bestFit="1" customWidth="1"/>
    <col min="425" max="425" width="17.5703125" bestFit="1" customWidth="1"/>
    <col min="426" max="426" width="20.85546875" bestFit="1" customWidth="1"/>
    <col min="427" max="427" width="17.5703125" bestFit="1" customWidth="1"/>
    <col min="428" max="428" width="20.7109375" bestFit="1" customWidth="1"/>
    <col min="429" max="429" width="14.5703125" bestFit="1" customWidth="1"/>
    <col min="430" max="430" width="17.85546875" bestFit="1" customWidth="1"/>
    <col min="431" max="431" width="17.42578125" bestFit="1" customWidth="1"/>
    <col min="432" max="432" width="20.5703125" bestFit="1" customWidth="1"/>
    <col min="433" max="433" width="15.28515625" bestFit="1" customWidth="1"/>
    <col min="434" max="434" width="18.42578125" bestFit="1" customWidth="1"/>
    <col min="435" max="435" width="15.5703125" bestFit="1" customWidth="1"/>
    <col min="436" max="436" width="19" bestFit="1" customWidth="1"/>
    <col min="437" max="437" width="15.42578125" bestFit="1" customWidth="1"/>
    <col min="438" max="438" width="18.7109375" bestFit="1" customWidth="1"/>
    <col min="439" max="439" width="16.42578125" bestFit="1" customWidth="1"/>
    <col min="440" max="440" width="19.7109375" bestFit="1" customWidth="1"/>
    <col min="441" max="441" width="12.85546875" bestFit="1" customWidth="1"/>
    <col min="442" max="442" width="16.140625" bestFit="1" customWidth="1"/>
    <col min="443" max="443" width="13.42578125" bestFit="1" customWidth="1"/>
    <col min="444" max="444" width="16.5703125" bestFit="1" customWidth="1"/>
    <col min="445" max="445" width="16.42578125" bestFit="1" customWidth="1"/>
    <col min="446" max="446" width="19.7109375" bestFit="1" customWidth="1"/>
    <col min="447" max="447" width="15.140625" bestFit="1" customWidth="1"/>
    <col min="448" max="448" width="18.5703125" bestFit="1" customWidth="1"/>
    <col min="449" max="449" width="13.28515625" bestFit="1" customWidth="1"/>
    <col min="450" max="450" width="16.5703125" bestFit="1" customWidth="1"/>
    <col min="451" max="451" width="14.42578125" bestFit="1" customWidth="1"/>
    <col min="452" max="452" width="17.7109375" bestFit="1" customWidth="1"/>
    <col min="453" max="453" width="18.7109375" bestFit="1" customWidth="1"/>
    <col min="454" max="454" width="21.85546875" bestFit="1" customWidth="1"/>
    <col min="455" max="455" width="16.42578125" bestFit="1" customWidth="1"/>
    <col min="456" max="456" width="19.5703125" bestFit="1" customWidth="1"/>
    <col min="457" max="457" width="20.28515625" bestFit="1" customWidth="1"/>
    <col min="458" max="458" width="23.28515625" bestFit="1" customWidth="1"/>
    <col min="459" max="459" width="16" bestFit="1" customWidth="1"/>
    <col min="460" max="460" width="19.28515625" bestFit="1" customWidth="1"/>
    <col min="461" max="461" width="13.5703125" bestFit="1" customWidth="1"/>
    <col min="462" max="462" width="16.7109375" bestFit="1" customWidth="1"/>
    <col min="463" max="463" width="14.5703125" bestFit="1" customWidth="1"/>
    <col min="464" max="464" width="17.85546875" bestFit="1" customWidth="1"/>
    <col min="465" max="465" width="15" bestFit="1" customWidth="1"/>
    <col min="466" max="466" width="18.28515625" bestFit="1" customWidth="1"/>
    <col min="467" max="467" width="16.140625" bestFit="1" customWidth="1"/>
    <col min="468" max="468" width="19.42578125" bestFit="1" customWidth="1"/>
    <col min="469" max="469" width="16" bestFit="1" customWidth="1"/>
    <col min="470" max="470" width="19.28515625" bestFit="1" customWidth="1"/>
    <col min="471" max="471" width="15.42578125" bestFit="1" customWidth="1"/>
    <col min="472" max="472" width="18.7109375" bestFit="1" customWidth="1"/>
    <col min="473" max="473" width="12.5703125" bestFit="1" customWidth="1"/>
    <col min="474" max="474" width="15.85546875" bestFit="1" customWidth="1"/>
    <col min="475" max="475" width="15.28515625" bestFit="1" customWidth="1"/>
    <col min="476" max="476" width="18.5703125" bestFit="1" customWidth="1"/>
    <col min="477" max="477" width="16.5703125" bestFit="1" customWidth="1"/>
    <col min="478" max="478" width="19.85546875" bestFit="1" customWidth="1"/>
    <col min="479" max="479" width="15.140625" bestFit="1" customWidth="1"/>
    <col min="480" max="480" width="18.140625" bestFit="1" customWidth="1"/>
    <col min="481" max="481" width="15.42578125" bestFit="1" customWidth="1"/>
    <col min="482" max="482" width="18.7109375" bestFit="1" customWidth="1"/>
    <col min="483" max="483" width="12.85546875" bestFit="1" customWidth="1"/>
    <col min="484" max="484" width="16.140625" bestFit="1" customWidth="1"/>
    <col min="485" max="485" width="16.28515625" bestFit="1" customWidth="1"/>
    <col min="486" max="486" width="19.5703125" bestFit="1" customWidth="1"/>
    <col min="487" max="487" width="14" bestFit="1" customWidth="1"/>
    <col min="488" max="488" width="17.140625" bestFit="1" customWidth="1"/>
    <col min="489" max="489" width="15.5703125" bestFit="1" customWidth="1"/>
    <col min="490" max="490" width="19" bestFit="1" customWidth="1"/>
    <col min="491" max="491" width="15.140625" bestFit="1" customWidth="1"/>
    <col min="492" max="492" width="18.5703125" bestFit="1" customWidth="1"/>
    <col min="493" max="493" width="17.140625" bestFit="1" customWidth="1"/>
    <col min="494" max="494" width="20.42578125" bestFit="1" customWidth="1"/>
    <col min="495" max="495" width="16.28515625" bestFit="1" customWidth="1"/>
    <col min="496" max="496" width="19.5703125" bestFit="1" customWidth="1"/>
    <col min="497" max="497" width="16.42578125" bestFit="1" customWidth="1"/>
    <col min="498" max="498" width="19.5703125" bestFit="1" customWidth="1"/>
    <col min="499" max="499" width="16.7109375" bestFit="1" customWidth="1"/>
    <col min="500" max="500" width="20.140625" bestFit="1" customWidth="1"/>
    <col min="501" max="501" width="18.5703125" bestFit="1" customWidth="1"/>
    <col min="502" max="502" width="21.85546875" bestFit="1" customWidth="1"/>
    <col min="503" max="503" width="14.42578125" bestFit="1" customWidth="1"/>
    <col min="504" max="504" width="17.7109375" bestFit="1" customWidth="1"/>
    <col min="505" max="505" width="17" bestFit="1" customWidth="1"/>
    <col min="506" max="506" width="20.28515625" bestFit="1" customWidth="1"/>
    <col min="507" max="507" width="15.85546875" bestFit="1" customWidth="1"/>
    <col min="508" max="508" width="19.140625" bestFit="1" customWidth="1"/>
    <col min="509" max="509" width="17.7109375" bestFit="1" customWidth="1"/>
    <col min="510" max="510" width="20.85546875" bestFit="1" customWidth="1"/>
    <col min="511" max="511" width="14" bestFit="1" customWidth="1"/>
    <col min="512" max="513" width="17.140625" bestFit="1" customWidth="1"/>
    <col min="514" max="514" width="20.5703125" bestFit="1" customWidth="1"/>
    <col min="515" max="515" width="16.140625" bestFit="1" customWidth="1"/>
    <col min="516" max="516" width="19.5703125" bestFit="1" customWidth="1"/>
    <col min="517" max="517" width="17.140625" bestFit="1" customWidth="1"/>
    <col min="518" max="518" width="20.42578125" bestFit="1" customWidth="1"/>
    <col min="519" max="519" width="16.5703125" bestFit="1" customWidth="1"/>
    <col min="520" max="520" width="19.85546875" bestFit="1" customWidth="1"/>
    <col min="521" max="521" width="15.7109375" bestFit="1" customWidth="1"/>
    <col min="522" max="522" width="19" bestFit="1" customWidth="1"/>
    <col min="523" max="523" width="16.140625" bestFit="1" customWidth="1"/>
    <col min="524" max="524" width="8.7109375" bestFit="1" customWidth="1"/>
    <col min="525" max="525" width="19.42578125" bestFit="1" customWidth="1"/>
    <col min="526" max="526" width="15.28515625" bestFit="1" customWidth="1"/>
    <col min="527" max="527" width="18.5703125" bestFit="1" customWidth="1"/>
    <col min="528" max="528" width="14.28515625" bestFit="1" customWidth="1"/>
    <col min="529" max="529" width="17.5703125" bestFit="1" customWidth="1"/>
    <col min="530" max="530" width="17.42578125" bestFit="1" customWidth="1"/>
    <col min="531" max="531" width="20.5703125" bestFit="1" customWidth="1"/>
    <col min="532" max="532" width="14.42578125" bestFit="1" customWidth="1"/>
    <col min="533" max="533" width="17.7109375" bestFit="1" customWidth="1"/>
    <col min="534" max="534" width="13.28515625" bestFit="1" customWidth="1"/>
    <col min="535" max="535" width="16.42578125" bestFit="1" customWidth="1"/>
    <col min="536" max="536" width="15.140625" bestFit="1" customWidth="1"/>
    <col min="537" max="537" width="18.42578125" bestFit="1" customWidth="1"/>
    <col min="538" max="538" width="16.7109375" bestFit="1" customWidth="1"/>
    <col min="539" max="539" width="19.85546875" bestFit="1" customWidth="1"/>
    <col min="540" max="540" width="14.28515625" bestFit="1" customWidth="1"/>
    <col min="541" max="541" width="17.42578125" bestFit="1" customWidth="1"/>
    <col min="542" max="542" width="14.5703125" bestFit="1" customWidth="1"/>
    <col min="543" max="543" width="17.7109375" bestFit="1" customWidth="1"/>
    <col min="544" max="544" width="16" bestFit="1" customWidth="1"/>
    <col min="545" max="545" width="19.28515625" bestFit="1" customWidth="1"/>
    <col min="546" max="546" width="14.7109375" bestFit="1" customWidth="1"/>
    <col min="547" max="547" width="18.140625" bestFit="1" customWidth="1"/>
    <col min="548" max="548" width="15.85546875" bestFit="1" customWidth="1"/>
    <col min="549" max="549" width="19.140625" bestFit="1" customWidth="1"/>
    <col min="550" max="550" width="13.5703125" bestFit="1" customWidth="1"/>
    <col min="551" max="551" width="16.7109375" bestFit="1" customWidth="1"/>
    <col min="552" max="552" width="15.5703125" bestFit="1" customWidth="1"/>
    <col min="553" max="553" width="18.85546875" bestFit="1" customWidth="1"/>
    <col min="554" max="554" width="14.85546875" bestFit="1" customWidth="1"/>
    <col min="555" max="555" width="18.140625" bestFit="1" customWidth="1"/>
    <col min="556" max="556" width="19.28515625" bestFit="1" customWidth="1"/>
    <col min="557" max="557" width="22.7109375" bestFit="1" customWidth="1"/>
    <col min="558" max="558" width="14.5703125" bestFit="1" customWidth="1"/>
    <col min="559" max="559" width="17.85546875" bestFit="1" customWidth="1"/>
    <col min="560" max="560" width="15.42578125" bestFit="1" customWidth="1"/>
    <col min="561" max="561" width="8.7109375" bestFit="1" customWidth="1"/>
    <col min="562" max="562" width="18.5703125" bestFit="1" customWidth="1"/>
    <col min="563" max="563" width="18.85546875" bestFit="1" customWidth="1"/>
    <col min="564" max="564" width="22.140625" bestFit="1" customWidth="1"/>
    <col min="565" max="565" width="16.5703125" bestFit="1" customWidth="1"/>
    <col min="566" max="566" width="19.85546875" bestFit="1" customWidth="1"/>
    <col min="567" max="567" width="13.7109375" bestFit="1" customWidth="1"/>
    <col min="568" max="568" width="16.85546875" bestFit="1" customWidth="1"/>
    <col min="569" max="569" width="19" bestFit="1" customWidth="1"/>
    <col min="570" max="570" width="22.28515625" bestFit="1" customWidth="1"/>
    <col min="571" max="571" width="21.85546875" bestFit="1" customWidth="1"/>
    <col min="572" max="572" width="25" bestFit="1" customWidth="1"/>
    <col min="573" max="573" width="16.42578125" bestFit="1" customWidth="1"/>
    <col min="574" max="574" width="19.7109375" bestFit="1" customWidth="1"/>
    <col min="575" max="575" width="20" bestFit="1" customWidth="1"/>
    <col min="576" max="576" width="23.28515625" bestFit="1" customWidth="1"/>
    <col min="577" max="577" width="16.85546875" bestFit="1" customWidth="1"/>
    <col min="578" max="578" width="8.7109375" bestFit="1" customWidth="1"/>
    <col min="579" max="579" width="20.28515625" bestFit="1" customWidth="1"/>
    <col min="580" max="580" width="16.140625" bestFit="1" customWidth="1"/>
    <col min="581" max="581" width="19.42578125" bestFit="1" customWidth="1"/>
    <col min="582" max="582" width="17.85546875" bestFit="1" customWidth="1"/>
    <col min="583" max="583" width="20.85546875" bestFit="1" customWidth="1"/>
    <col min="584" max="584" width="17.85546875" bestFit="1" customWidth="1"/>
    <col min="585" max="585" width="20.85546875" bestFit="1" customWidth="1"/>
    <col min="586" max="586" width="18.5703125" bestFit="1" customWidth="1"/>
    <col min="587" max="587" width="21.5703125" bestFit="1" customWidth="1"/>
    <col min="588" max="588" width="15.42578125" bestFit="1" customWidth="1"/>
    <col min="589" max="589" width="18.5703125" bestFit="1" customWidth="1"/>
    <col min="590" max="590" width="17.5703125" bestFit="1" customWidth="1"/>
    <col min="591" max="591" width="20.5703125" bestFit="1" customWidth="1"/>
    <col min="592" max="592" width="15.140625" bestFit="1" customWidth="1"/>
    <col min="593" max="593" width="18.28515625" bestFit="1" customWidth="1"/>
    <col min="594" max="594" width="16" bestFit="1" customWidth="1"/>
    <col min="595" max="595" width="19" bestFit="1" customWidth="1"/>
    <col min="596" max="596" width="15.28515625" bestFit="1" customWidth="1"/>
    <col min="597" max="597" width="8.7109375" bestFit="1" customWidth="1"/>
    <col min="598" max="598" width="18.5703125" bestFit="1" customWidth="1"/>
    <col min="599" max="599" width="14.28515625" bestFit="1" customWidth="1"/>
    <col min="600" max="600" width="17.5703125" bestFit="1" customWidth="1"/>
    <col min="601" max="601" width="15.140625" bestFit="1" customWidth="1"/>
    <col min="602" max="602" width="18.42578125" bestFit="1" customWidth="1"/>
    <col min="603" max="603" width="15.28515625" bestFit="1" customWidth="1"/>
    <col min="604" max="604" width="18.7109375" bestFit="1" customWidth="1"/>
    <col min="605" max="605" width="16" bestFit="1" customWidth="1"/>
    <col min="606" max="606" width="19.28515625" bestFit="1" customWidth="1"/>
    <col min="607" max="607" width="12.85546875" bestFit="1" customWidth="1"/>
    <col min="608" max="608" width="16.140625" bestFit="1" customWidth="1"/>
    <col min="609" max="609" width="15.140625" bestFit="1" customWidth="1"/>
    <col min="610" max="610" width="18.42578125" bestFit="1" customWidth="1"/>
    <col min="611" max="611" width="18.85546875" bestFit="1" customWidth="1"/>
    <col min="612" max="612" width="22.140625" bestFit="1" customWidth="1"/>
    <col min="613" max="613" width="17.85546875" bestFit="1" customWidth="1"/>
    <col min="614" max="614" width="8.7109375" bestFit="1" customWidth="1"/>
    <col min="615" max="615" width="21" bestFit="1" customWidth="1"/>
    <col min="616" max="616" width="14.7109375" bestFit="1" customWidth="1"/>
    <col min="617" max="617" width="18" bestFit="1" customWidth="1"/>
    <col min="618" max="618" width="17.42578125" bestFit="1" customWidth="1"/>
    <col min="619" max="619" width="20.7109375" bestFit="1" customWidth="1"/>
    <col min="620" max="620" width="15" bestFit="1" customWidth="1"/>
    <col min="621" max="621" width="18.28515625" bestFit="1" customWidth="1"/>
    <col min="622" max="622" width="13.85546875" bestFit="1" customWidth="1"/>
    <col min="623" max="623" width="17" bestFit="1" customWidth="1"/>
    <col min="624" max="624" width="19.140625" bestFit="1" customWidth="1"/>
    <col min="625" max="625" width="22.42578125" bestFit="1" customWidth="1"/>
    <col min="626" max="626" width="15.28515625" bestFit="1" customWidth="1"/>
    <col min="627" max="627" width="18.5703125" bestFit="1" customWidth="1"/>
    <col min="628" max="628" width="17.140625" bestFit="1" customWidth="1"/>
    <col min="629" max="629" width="20.42578125" bestFit="1" customWidth="1"/>
    <col min="630" max="630" width="14.140625" bestFit="1" customWidth="1"/>
    <col min="631" max="631" width="17.42578125" bestFit="1" customWidth="1"/>
    <col min="632" max="632" width="10.5703125" bestFit="1" customWidth="1"/>
    <col min="633" max="633" width="13.85546875" bestFit="1" customWidth="1"/>
    <col min="634" max="634" width="13" bestFit="1" customWidth="1"/>
    <col min="635" max="635" width="8.7109375" bestFit="1" customWidth="1"/>
    <col min="636" max="636" width="16.28515625" bestFit="1" customWidth="1"/>
    <col min="637" max="637" width="14" bestFit="1" customWidth="1"/>
    <col min="638" max="638" width="17.140625" bestFit="1" customWidth="1"/>
    <col min="639" max="639" width="11" bestFit="1" customWidth="1"/>
  </cols>
  <sheetData>
    <row r="1" spans="1:14" hidden="1">
      <c r="F1" s="19"/>
      <c r="G1" s="18" t="s">
        <v>437</v>
      </c>
    </row>
    <row r="2" spans="1:14" hidden="1">
      <c r="A2" s="9" t="s">
        <v>438</v>
      </c>
      <c r="B2" s="9"/>
      <c r="D2" s="9" t="s">
        <v>439</v>
      </c>
      <c r="G2" s="9" t="s">
        <v>440</v>
      </c>
      <c r="H2" s="9"/>
      <c r="J2" s="9" t="s">
        <v>441</v>
      </c>
      <c r="L2" s="9" t="s">
        <v>442</v>
      </c>
    </row>
    <row r="3" spans="1:14" hidden="1">
      <c r="A3" s="8" t="s">
        <v>12</v>
      </c>
      <c r="B3" t="s">
        <v>443</v>
      </c>
      <c r="D3" s="6" t="s">
        <v>13</v>
      </c>
      <c r="E3" t="s">
        <v>443</v>
      </c>
      <c r="G3" s="6" t="s">
        <v>13</v>
      </c>
      <c r="H3" s="11" t="s">
        <v>444</v>
      </c>
      <c r="J3" s="6" t="s">
        <v>463</v>
      </c>
      <c r="L3" s="6" t="s">
        <v>464</v>
      </c>
      <c r="N3" s="5"/>
    </row>
    <row r="4" spans="1:14" hidden="1">
      <c r="A4" t="s">
        <v>445</v>
      </c>
      <c r="B4" s="7">
        <v>33</v>
      </c>
      <c r="D4" t="s">
        <v>446</v>
      </c>
      <c r="E4" s="7">
        <v>5</v>
      </c>
      <c r="F4" s="7"/>
      <c r="G4" t="s">
        <v>446</v>
      </c>
      <c r="H4" s="11">
        <v>28922</v>
      </c>
      <c r="J4" t="s">
        <v>103</v>
      </c>
      <c r="L4" t="s">
        <v>90</v>
      </c>
    </row>
    <row r="5" spans="1:14" hidden="1">
      <c r="A5" t="s">
        <v>447</v>
      </c>
      <c r="B5" s="7">
        <v>11</v>
      </c>
      <c r="D5" t="s">
        <v>448</v>
      </c>
      <c r="E5" s="16">
        <v>2</v>
      </c>
      <c r="F5" s="7"/>
      <c r="G5" t="s">
        <v>448</v>
      </c>
      <c r="H5" s="11">
        <v>20318</v>
      </c>
      <c r="J5" t="s">
        <v>109</v>
      </c>
      <c r="L5" t="s">
        <v>82</v>
      </c>
    </row>
    <row r="6" spans="1:14" hidden="1">
      <c r="B6" s="5"/>
      <c r="D6" t="s">
        <v>449</v>
      </c>
      <c r="E6" s="7">
        <v>6</v>
      </c>
      <c r="F6" s="7"/>
      <c r="G6" t="s">
        <v>449</v>
      </c>
      <c r="H6" s="11">
        <v>27187</v>
      </c>
      <c r="J6" t="s">
        <v>95</v>
      </c>
      <c r="L6" t="s">
        <v>28</v>
      </c>
    </row>
    <row r="7" spans="1:14" hidden="1">
      <c r="A7" s="9" t="s">
        <v>438</v>
      </c>
      <c r="B7" s="9"/>
      <c r="D7" t="s">
        <v>450</v>
      </c>
      <c r="E7" s="7">
        <v>1</v>
      </c>
      <c r="F7" s="7"/>
      <c r="G7" t="s">
        <v>450</v>
      </c>
      <c r="H7" s="11">
        <v>6920</v>
      </c>
      <c r="J7" s="5" t="s">
        <v>36</v>
      </c>
      <c r="L7" t="s">
        <v>74</v>
      </c>
      <c r="M7" s="5"/>
    </row>
    <row r="8" spans="1:14" hidden="1">
      <c r="A8" s="8" t="s">
        <v>12</v>
      </c>
      <c r="B8" t="s">
        <v>444</v>
      </c>
      <c r="D8" t="s">
        <v>451</v>
      </c>
      <c r="E8" s="7">
        <v>2</v>
      </c>
      <c r="F8" s="7"/>
      <c r="G8" t="s">
        <v>451</v>
      </c>
      <c r="H8" s="11">
        <v>15389</v>
      </c>
      <c r="J8" t="s">
        <v>55</v>
      </c>
      <c r="L8" t="s">
        <v>23</v>
      </c>
    </row>
    <row r="9" spans="1:14" hidden="1">
      <c r="A9" t="s">
        <v>445</v>
      </c>
      <c r="B9" s="11">
        <v>209982</v>
      </c>
      <c r="C9" s="5"/>
      <c r="D9" t="s">
        <v>452</v>
      </c>
      <c r="E9" s="7">
        <v>3</v>
      </c>
      <c r="F9" s="7"/>
      <c r="G9" t="s">
        <v>452</v>
      </c>
      <c r="H9" s="11">
        <v>29062</v>
      </c>
      <c r="J9" t="s">
        <v>69</v>
      </c>
      <c r="L9" t="s">
        <v>84</v>
      </c>
    </row>
    <row r="10" spans="1:14" hidden="1">
      <c r="A10" t="s">
        <v>447</v>
      </c>
      <c r="B10" s="12">
        <v>48114</v>
      </c>
      <c r="D10" s="5" t="s">
        <v>453</v>
      </c>
      <c r="E10" s="7">
        <v>5</v>
      </c>
      <c r="F10" s="7"/>
      <c r="G10" t="s">
        <v>453</v>
      </c>
      <c r="H10" s="11">
        <v>23331</v>
      </c>
      <c r="J10" t="s">
        <v>105</v>
      </c>
      <c r="L10" t="s">
        <v>111</v>
      </c>
    </row>
    <row r="11" spans="1:14" hidden="1">
      <c r="D11" t="s">
        <v>454</v>
      </c>
      <c r="E11" s="7">
        <v>2</v>
      </c>
      <c r="F11" s="7"/>
      <c r="G11" t="s">
        <v>454</v>
      </c>
      <c r="H11" s="11">
        <v>6759</v>
      </c>
      <c r="J11" t="s">
        <v>58</v>
      </c>
      <c r="L11" t="s">
        <v>50</v>
      </c>
    </row>
    <row r="12" spans="1:14" hidden="1">
      <c r="A12" s="9" t="s">
        <v>455</v>
      </c>
      <c r="D12" t="s">
        <v>456</v>
      </c>
      <c r="E12" s="7">
        <v>5</v>
      </c>
      <c r="F12" s="7"/>
      <c r="G12" t="s">
        <v>456</v>
      </c>
      <c r="H12" s="11">
        <v>40165</v>
      </c>
      <c r="J12" t="s">
        <v>100</v>
      </c>
      <c r="L12" t="s">
        <v>41</v>
      </c>
    </row>
    <row r="13" spans="1:14" hidden="1">
      <c r="A13" s="21">
        <f xml:space="preserve"> B5/B4</f>
        <v>0.33333333333333331</v>
      </c>
      <c r="D13" t="s">
        <v>457</v>
      </c>
      <c r="E13" s="7">
        <v>4</v>
      </c>
      <c r="F13" s="7"/>
      <c r="G13" t="s">
        <v>457</v>
      </c>
      <c r="H13" s="11">
        <v>28457</v>
      </c>
      <c r="J13" t="s">
        <v>113</v>
      </c>
      <c r="L13" t="s">
        <v>87</v>
      </c>
    </row>
    <row r="14" spans="1:14" hidden="1">
      <c r="A14" s="5"/>
      <c r="D14" t="s">
        <v>458</v>
      </c>
      <c r="E14" s="7">
        <v>2</v>
      </c>
      <c r="F14" s="7"/>
      <c r="G14" t="s">
        <v>458</v>
      </c>
      <c r="H14" s="12">
        <v>5144</v>
      </c>
      <c r="J14" t="s">
        <v>49</v>
      </c>
    </row>
    <row r="15" spans="1:14" hidden="1">
      <c r="D15" t="s">
        <v>459</v>
      </c>
      <c r="E15" s="7">
        <v>7</v>
      </c>
      <c r="F15" s="7"/>
      <c r="G15" t="s">
        <v>459</v>
      </c>
      <c r="H15" s="11">
        <v>26442</v>
      </c>
      <c r="J15" t="s">
        <v>71</v>
      </c>
    </row>
    <row r="16" spans="1:14" hidden="1">
      <c r="J16" t="s">
        <v>27</v>
      </c>
    </row>
    <row r="17" spans="4:10" hidden="1">
      <c r="D17" s="9" t="s">
        <v>460</v>
      </c>
      <c r="E17" s="9"/>
      <c r="G17" s="9" t="s">
        <v>461</v>
      </c>
      <c r="H17" s="9"/>
      <c r="J17" t="s">
        <v>60</v>
      </c>
    </row>
    <row r="18" spans="4:10" hidden="1">
      <c r="D18" s="6" t="s">
        <v>14</v>
      </c>
      <c r="E18" t="s">
        <v>443</v>
      </c>
      <c r="G18" s="6" t="s">
        <v>7</v>
      </c>
      <c r="H18" s="7" t="s">
        <v>443</v>
      </c>
      <c r="J18" t="s">
        <v>115</v>
      </c>
    </row>
    <row r="19" spans="4:10" hidden="1">
      <c r="D19" t="s">
        <v>446</v>
      </c>
      <c r="E19" s="7">
        <v>33</v>
      </c>
      <c r="G19" t="s">
        <v>26</v>
      </c>
      <c r="H19" s="7">
        <v>3</v>
      </c>
      <c r="J19" t="s">
        <v>92</v>
      </c>
    </row>
    <row r="20" spans="4:10" hidden="1">
      <c r="D20" t="s">
        <v>449</v>
      </c>
      <c r="E20" s="7">
        <v>4</v>
      </c>
      <c r="G20" t="s">
        <v>34</v>
      </c>
      <c r="H20" s="7">
        <v>6</v>
      </c>
      <c r="J20" t="s">
        <v>65</v>
      </c>
    </row>
    <row r="21" spans="4:10" hidden="1">
      <c r="D21" t="s">
        <v>450</v>
      </c>
      <c r="E21" s="7">
        <v>1</v>
      </c>
      <c r="G21" t="s">
        <v>54</v>
      </c>
      <c r="H21" s="7">
        <v>6</v>
      </c>
      <c r="J21" t="s">
        <v>73</v>
      </c>
    </row>
    <row r="22" spans="4:10" hidden="1">
      <c r="D22" t="s">
        <v>451</v>
      </c>
      <c r="E22" s="7">
        <v>1</v>
      </c>
      <c r="G22" t="s">
        <v>39</v>
      </c>
      <c r="H22" s="7">
        <v>2</v>
      </c>
      <c r="J22" t="s">
        <v>79</v>
      </c>
    </row>
    <row r="23" spans="4:10" hidden="1">
      <c r="D23" t="s">
        <v>453</v>
      </c>
      <c r="E23" s="7">
        <v>2</v>
      </c>
      <c r="G23" t="s">
        <v>31</v>
      </c>
      <c r="H23" s="7">
        <v>5</v>
      </c>
      <c r="J23" t="s">
        <v>107</v>
      </c>
    </row>
    <row r="24" spans="4:10" hidden="1">
      <c r="D24" t="s">
        <v>454</v>
      </c>
      <c r="E24" s="7">
        <v>1</v>
      </c>
      <c r="G24" t="s">
        <v>45</v>
      </c>
      <c r="H24" s="7">
        <v>2</v>
      </c>
      <c r="J24" t="s">
        <v>98</v>
      </c>
    </row>
    <row r="25" spans="4:10" hidden="1">
      <c r="D25" t="s">
        <v>457</v>
      </c>
      <c r="E25" s="7">
        <v>1</v>
      </c>
      <c r="G25" t="s">
        <v>77</v>
      </c>
      <c r="H25" s="7">
        <v>6</v>
      </c>
      <c r="J25" t="s">
        <v>46</v>
      </c>
    </row>
    <row r="26" spans="4:10" hidden="1">
      <c r="D26" t="s">
        <v>459</v>
      </c>
      <c r="E26" s="7">
        <v>1</v>
      </c>
      <c r="G26" t="s">
        <v>21</v>
      </c>
      <c r="H26" s="7">
        <v>3</v>
      </c>
    </row>
    <row r="27" spans="4:10" hidden="1"/>
    <row r="28" spans="4:10" hidden="1">
      <c r="H28" s="7"/>
    </row>
    <row r="29" spans="4:10" hidden="1">
      <c r="G29" s="9" t="s">
        <v>462</v>
      </c>
      <c r="H29" s="9"/>
    </row>
    <row r="30" spans="4:10" hidden="1">
      <c r="G30" s="6" t="s">
        <v>5</v>
      </c>
      <c r="H30" s="7" t="s">
        <v>443</v>
      </c>
    </row>
    <row r="31" spans="4:10" hidden="1">
      <c r="G31" t="s">
        <v>76</v>
      </c>
      <c r="H31" s="7">
        <v>3</v>
      </c>
    </row>
    <row r="32" spans="4:10" hidden="1">
      <c r="G32" t="s">
        <v>57</v>
      </c>
      <c r="H32" s="7">
        <v>3</v>
      </c>
    </row>
    <row r="33" spans="2:14" hidden="1">
      <c r="G33" t="s">
        <v>44</v>
      </c>
      <c r="H33" s="7">
        <v>2</v>
      </c>
    </row>
    <row r="34" spans="2:14" hidden="1">
      <c r="G34" t="s">
        <v>89</v>
      </c>
      <c r="H34" s="7">
        <v>3</v>
      </c>
    </row>
    <row r="35" spans="2:14" hidden="1">
      <c r="G35" t="s">
        <v>20</v>
      </c>
      <c r="H35" s="7">
        <v>1</v>
      </c>
    </row>
    <row r="36" spans="2:14" hidden="1">
      <c r="G36" t="s">
        <v>68</v>
      </c>
      <c r="H36" s="7">
        <v>3</v>
      </c>
    </row>
    <row r="37" spans="2:14" hidden="1">
      <c r="G37" t="s">
        <v>63</v>
      </c>
      <c r="H37" s="7">
        <v>2</v>
      </c>
    </row>
    <row r="38" spans="2:14" hidden="1">
      <c r="G38" t="s">
        <v>30</v>
      </c>
      <c r="H38" s="7">
        <v>5</v>
      </c>
    </row>
    <row r="39" spans="2:14" hidden="1">
      <c r="G39" t="s">
        <v>33</v>
      </c>
      <c r="H39" s="7">
        <v>3</v>
      </c>
    </row>
    <row r="40" spans="2:14" hidden="1">
      <c r="G40" t="s">
        <v>38</v>
      </c>
      <c r="H40" s="7">
        <v>2</v>
      </c>
    </row>
    <row r="41" spans="2:14" hidden="1">
      <c r="G41" t="s">
        <v>48</v>
      </c>
      <c r="H41" s="7">
        <v>2</v>
      </c>
    </row>
    <row r="42" spans="2:14" hidden="1">
      <c r="G42" t="s">
        <v>25</v>
      </c>
      <c r="H42" s="7">
        <v>1</v>
      </c>
    </row>
    <row r="43" spans="2:14" hidden="1">
      <c r="G43" t="s">
        <v>53</v>
      </c>
      <c r="H43" s="7">
        <v>3</v>
      </c>
    </row>
    <row r="44" spans="2:14" hidden="1"/>
    <row r="45" spans="2:14" s="20" customFormat="1" ht="18.75" hidden="1" customHeight="1">
      <c r="G45"/>
      <c r="H45"/>
    </row>
    <row r="46" spans="2:14">
      <c r="B46" s="23"/>
      <c r="C46" s="23"/>
      <c r="D46" s="23"/>
      <c r="E46" s="23"/>
      <c r="F46" s="23"/>
      <c r="G46" s="23"/>
      <c r="H46" s="23"/>
      <c r="I46" s="23"/>
      <c r="J46" s="23"/>
    </row>
    <row r="48" spans="2:14" ht="31.5">
      <c r="F48" s="32" t="s">
        <v>465</v>
      </c>
      <c r="H48" s="29" t="s">
        <v>466</v>
      </c>
      <c r="J48" s="30" t="s">
        <v>467</v>
      </c>
      <c r="K48" s="24"/>
      <c r="L48" s="27" t="s">
        <v>468</v>
      </c>
      <c r="M48" s="24"/>
      <c r="N48" s="25" t="s">
        <v>469</v>
      </c>
    </row>
    <row r="49" spans="2:17" ht="31.5">
      <c r="C49" s="22"/>
      <c r="F49" s="28">
        <f>B4</f>
        <v>33</v>
      </c>
      <c r="H49" s="28">
        <f>B5</f>
        <v>11</v>
      </c>
      <c r="J49" s="31">
        <f>A13</f>
        <v>0.33333333333333331</v>
      </c>
      <c r="K49" s="24"/>
      <c r="L49" s="26">
        <f>B9</f>
        <v>209982</v>
      </c>
      <c r="M49" s="24"/>
      <c r="N49" s="26">
        <f>B10</f>
        <v>48114</v>
      </c>
      <c r="P49" s="33"/>
    </row>
    <row r="50" spans="2:17" ht="18.75">
      <c r="B50" s="5"/>
      <c r="P50" s="34"/>
    </row>
    <row r="51" spans="2:17" ht="18.75">
      <c r="O51" s="33" t="s">
        <v>463</v>
      </c>
      <c r="P51" s="34"/>
    </row>
    <row r="52" spans="2:17" ht="18.75">
      <c r="O52" s="34" t="s">
        <v>103</v>
      </c>
      <c r="P52" s="34"/>
    </row>
    <row r="53" spans="2:17" ht="18.75">
      <c r="O53" s="34" t="s">
        <v>109</v>
      </c>
      <c r="P53" s="35"/>
    </row>
    <row r="54" spans="2:17" ht="18.75">
      <c r="O54" s="34" t="s">
        <v>95</v>
      </c>
      <c r="P54" s="34"/>
    </row>
    <row r="55" spans="2:17" ht="18.75">
      <c r="O55" s="35" t="s">
        <v>36</v>
      </c>
      <c r="P55" s="34"/>
    </row>
    <row r="56" spans="2:17" ht="18.75">
      <c r="O56" s="34" t="s">
        <v>55</v>
      </c>
      <c r="P56" s="34"/>
    </row>
    <row r="57" spans="2:17" ht="18.75">
      <c r="O57" s="34" t="s">
        <v>69</v>
      </c>
      <c r="P57" s="34"/>
    </row>
    <row r="58" spans="2:17" ht="18.75">
      <c r="O58" s="34" t="s">
        <v>105</v>
      </c>
      <c r="P58" s="34"/>
    </row>
    <row r="59" spans="2:17" ht="18.75">
      <c r="O59" s="34" t="s">
        <v>58</v>
      </c>
      <c r="P59" s="34"/>
    </row>
    <row r="60" spans="2:17" ht="18.75">
      <c r="O60" s="34" t="s">
        <v>100</v>
      </c>
      <c r="P60" s="34"/>
      <c r="Q60" s="34"/>
    </row>
    <row r="61" spans="2:17" ht="18.75">
      <c r="O61" s="34" t="s">
        <v>113</v>
      </c>
      <c r="P61" s="34"/>
      <c r="Q61" s="34"/>
    </row>
    <row r="62" spans="2:17" ht="18.75">
      <c r="O62" s="34" t="s">
        <v>49</v>
      </c>
      <c r="P62" s="34"/>
      <c r="Q62" s="34"/>
    </row>
    <row r="63" spans="2:17" ht="18.75">
      <c r="O63" s="34" t="s">
        <v>71</v>
      </c>
      <c r="P63" s="34"/>
      <c r="Q63" s="34"/>
    </row>
    <row r="64" spans="2:17" ht="18.75">
      <c r="O64" s="34" t="s">
        <v>27</v>
      </c>
      <c r="P64" s="34"/>
      <c r="Q64" s="34"/>
    </row>
    <row r="65" spans="12:17" ht="18.75">
      <c r="O65" s="34" t="s">
        <v>60</v>
      </c>
      <c r="P65" s="34"/>
      <c r="Q65" s="34"/>
    </row>
    <row r="66" spans="12:17" ht="18.75">
      <c r="O66" s="34" t="s">
        <v>115</v>
      </c>
      <c r="P66" s="34"/>
      <c r="Q66" s="34"/>
    </row>
    <row r="67" spans="12:17" ht="18.75">
      <c r="O67" s="34" t="s">
        <v>92</v>
      </c>
      <c r="P67" s="34"/>
      <c r="Q67" s="34"/>
    </row>
    <row r="68" spans="12:17" ht="18.75">
      <c r="O68" s="34" t="s">
        <v>65</v>
      </c>
      <c r="P68" s="34"/>
      <c r="Q68" s="34"/>
    </row>
    <row r="69" spans="12:17" ht="18.75">
      <c r="O69" s="34" t="s">
        <v>73</v>
      </c>
      <c r="P69" s="34"/>
      <c r="Q69" s="34"/>
    </row>
    <row r="70" spans="12:17" ht="18.75">
      <c r="L70" s="5"/>
      <c r="O70" s="34" t="s">
        <v>79</v>
      </c>
      <c r="P70" s="34"/>
      <c r="Q70" s="34"/>
    </row>
    <row r="71" spans="12:17" ht="18.75">
      <c r="O71" s="34" t="s">
        <v>107</v>
      </c>
      <c r="P71" s="34"/>
      <c r="Q71" s="34"/>
    </row>
    <row r="72" spans="12:17" ht="18.75">
      <c r="O72" s="34" t="s">
        <v>98</v>
      </c>
    </row>
    <row r="73" spans="12:17" ht="18.75">
      <c r="O73" s="34" t="s">
        <v>46</v>
      </c>
    </row>
    <row r="76" spans="12:17" ht="18.75">
      <c r="O76" s="33" t="s">
        <v>464</v>
      </c>
    </row>
    <row r="77" spans="12:17" ht="18.75">
      <c r="O77" s="34" t="s">
        <v>90</v>
      </c>
    </row>
    <row r="78" spans="12:17" ht="18.75">
      <c r="O78" s="34" t="s">
        <v>82</v>
      </c>
    </row>
    <row r="79" spans="12:17" ht="18.75">
      <c r="O79" s="34" t="s">
        <v>28</v>
      </c>
    </row>
    <row r="80" spans="12:17" ht="18.75">
      <c r="O80" s="34" t="s">
        <v>74</v>
      </c>
    </row>
    <row r="81" spans="15:15" ht="18.75">
      <c r="O81" s="34" t="s">
        <v>23</v>
      </c>
    </row>
    <row r="82" spans="15:15" ht="18.75">
      <c r="O82" s="34" t="s">
        <v>84</v>
      </c>
    </row>
    <row r="83" spans="15:15" ht="18.75">
      <c r="O83" s="34" t="s">
        <v>111</v>
      </c>
    </row>
    <row r="84" spans="15:15" ht="18.75">
      <c r="O84" s="34" t="s">
        <v>50</v>
      </c>
    </row>
    <row r="85" spans="15:15" ht="18.75">
      <c r="O85" s="34" t="s">
        <v>41</v>
      </c>
    </row>
    <row r="86" spans="15:15" ht="18.75">
      <c r="O86" s="34" t="s">
        <v>87</v>
      </c>
    </row>
    <row r="87" spans="15:15" ht="18.75">
      <c r="O87" s="34" t="s">
        <v>464</v>
      </c>
    </row>
    <row r="88" spans="15:15" ht="18.75">
      <c r="O88" s="34" t="s">
        <v>90</v>
      </c>
    </row>
    <row r="89" spans="15:15" ht="18.75">
      <c r="O89" s="34" t="s">
        <v>82</v>
      </c>
    </row>
    <row r="90" spans="15:15" ht="18.75">
      <c r="O90" s="34" t="s">
        <v>28</v>
      </c>
    </row>
    <row r="91" spans="15:15" ht="18.75">
      <c r="O91" s="34" t="s">
        <v>74</v>
      </c>
    </row>
  </sheetData>
  <pageMargins left="0.7" right="0.7" top="0.75" bottom="0.75" header="0.3" footer="0.3"/>
  <drawing r:id="rId12"/>
  <extLst>
    <ext xmlns:x14="http://schemas.microsoft.com/office/spreadsheetml/2009/9/main" uri="{A8765BA9-456A-4dab-B4F3-ACF838C121DE}">
      <x14:slicerList>
        <x14:slicer r:id="rId1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ExcelenteJoao</dc:creator>
  <cp:keywords/>
  <dc:description/>
  <cp:lastModifiedBy/>
  <cp:revision/>
  <dcterms:created xsi:type="dcterms:W3CDTF">2015-06-05T18:17:20Z</dcterms:created>
  <dcterms:modified xsi:type="dcterms:W3CDTF">2026-09-17T19:25:46Z</dcterms:modified>
  <cp:category/>
  <cp:contentStatus/>
</cp:coreProperties>
</file>